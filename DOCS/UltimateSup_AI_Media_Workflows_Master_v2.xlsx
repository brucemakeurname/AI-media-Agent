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22240"/>
  </bookViews>
  <sheets>
    <sheet name="Master" sheetId="1" r:id="rId1"/>
    <sheet name="AI UGC Video" sheetId="2" r:id="rId2"/>
    <sheet name="AI Clone Video" sheetId="3" r:id="rId3"/>
    <sheet name="AI Clone Creative" sheetId="6" r:id="rId4"/>
    <sheet name="Single Static" sheetId="12" r:id="rId5"/>
    <sheet name="Edit Source Mix" sheetId="14" r:id="rId6"/>
    <sheet name="HTML Video Dropped" sheetId="1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<sst xmlns="http://schemas.openxmlformats.org/spreadsheetml/2006/main" count="1845" uniqueCount="1020">
  <si>
    <t>UltimateSup AI Media — Workflow Master</t>
  </si>
  <si>
    <t>Catalog + feasibility + implementation plan + blocker log + handoff map | Update: 2026-08-18</t>
  </si>
  <si>
    <t>1. Tổng quan</t>
  </si>
  <si>
    <t>Dự án</t>
  </si>
  <si>
    <t>UltimateSup AI Media Social — Workflow Master</t>
  </si>
  <si>
    <t>Repo web</t>
  </si>
  <si>
    <t>Repo origin</t>
  </si>
  <si>
    <t>git@github.com-ai-media-agent:brucemakeurname/AI-media-Agent.git</t>
  </si>
  <si>
    <t>Current handoff</t>
  </si>
  <si>
    <t>AI Video Creative · Single Static (AI Creative Graphic) · AI Clone Creative · AI Edit Video (Source Mixing)</t>
  </si>
  <si>
    <t>Repo branch / commit</t>
  </si>
  <si>
    <t>main / b717ef885eaa169766842d186e68c6665e0f9d09</t>
  </si>
  <si>
    <t>Deferred</t>
  </si>
  <si>
    <t>AI Clone Video — tối ưu video understanding sau handoff</t>
  </si>
  <si>
    <t>Mục tiêu</t>
  </si>
  <si>
    <r>
      <rPr>
        <sz val="9"/>
        <color rgb="FF203040"/>
        <rFont val="Helvetica Neue Regular"/>
        <charset val="134"/>
      </rPr>
      <t xml:space="preserve">Catalog, đánh giá khả thi, thống kê tiến độ và bàn giao workflows AI Media có traceability từ goal </t>
    </r>
    <r>
      <rPr>
        <sz val="9"/>
        <color rgb="FF203040"/>
        <rFont val="Carlito"/>
        <charset val="134"/>
      </rPr>
      <t>→</t>
    </r>
    <r>
      <rPr>
        <sz val="9"/>
        <color rgb="FF203040"/>
        <rFont val="Helvetica Neue Regular"/>
        <charset val="134"/>
      </rPr>
      <t xml:space="preserve"> skill/tool </t>
    </r>
    <r>
      <rPr>
        <sz val="9"/>
        <color rgb="FF203040"/>
        <rFont val="Carlito"/>
        <charset val="134"/>
      </rPr>
      <t>→</t>
    </r>
    <r>
      <rPr>
        <sz val="9"/>
        <color rgb="FF203040"/>
        <rFont val="Helvetica Neue Regular"/>
        <charset val="134"/>
      </rPr>
      <t xml:space="preserve"> output </t>
    </r>
    <r>
      <rPr>
        <sz val="9"/>
        <color rgb="FF203040"/>
        <rFont val="Carlito"/>
        <charset val="134"/>
      </rPr>
      <t>→</t>
    </r>
    <r>
      <rPr>
        <sz val="9"/>
        <color rgb="FF203040"/>
        <rFont val="Helvetica Neue Regular"/>
        <charset val="134"/>
      </rPr>
      <t xml:space="preserve"> QA.</t>
    </r>
  </si>
  <si>
    <t>Dropped</t>
  </si>
  <si>
    <t>HTML Video — chuyển effort sang source mixing</t>
  </si>
  <si>
    <t>Cập nhật</t>
  </si>
  <si>
    <t>2026-08-18 (Asia/Ho_Chi_Minh)</t>
  </si>
  <si>
    <t>Working rule</t>
  </si>
  <si>
    <t>Kiểm trước khi tin: mọi status/output cần đối chiếu repo, run log và human QA.</t>
  </si>
  <si>
    <t>Phạm vi handoff</t>
  </si>
  <si>
    <t>4 workflow active/core: AI Video Creative; Single Static (AI Creative Graphic); AI Clone Creative; AI Edit Video (Source Mixing) + AI Clone Video (deferred 1w).</t>
  </si>
  <si>
    <t>Market</t>
  </si>
  <si>
    <t>Singapore / Ultimate Sup; claim-safe, source-traceable.</t>
  </si>
  <si>
    <t>Nguồn dữ liệu</t>
  </si>
  <si>
    <t>Canonical goal/DOCS/skill trong repo + cập nhật thực tế của người dùng ngày 2026-08-18. Ảnh task tuần qua không còn truy cập được tại đường dẫn tạm thời khi tạo workbook.</t>
  </si>
  <si>
    <t>Scope</t>
  </si>
  <si>
    <t>Workbook là tracker nội bộ, không tự publish hoặc cập nhật live listing.</t>
  </si>
  <si>
    <t>2. KPI theo catalog</t>
  </si>
  <si>
    <t>Tổng workflows</t>
  </si>
  <si>
    <t>Core completed</t>
  </si>
  <si>
    <t>Cần ổn định/tối ưu</t>
  </si>
  <si>
    <t>Pending / planned</t>
  </si>
  <si>
    <t>Handoff target</t>
  </si>
  <si>
    <t>3. Điều chỉnh kế hoạch / blocker chính</t>
  </si>
  <si>
    <t>Hạng mục</t>
  </si>
  <si>
    <t>Vướng mắc / cơ sở</t>
  </si>
  <si>
    <t>Hành động khắc phục</t>
  </si>
  <si>
    <t>Duration</t>
  </si>
  <si>
    <t>Mốc mới</t>
  </si>
  <si>
    <t>Owner</t>
  </si>
  <si>
    <t>AI Video Creative — model compatibility</t>
  </si>
  <si>
    <t>Claude Sonnet 5 + Claude Code chạy tốt; Codex + Terra 5.6 loop/misunderstanding/mislead</t>
  </si>
  <si>
    <t>Thêm regression matrix, checkpoint artifacts, bounded retry và runbook mid-tier</t>
  </si>
  <si>
    <t>2 ngày</t>
  </si>
  <si>
    <t>2026-08-20</t>
  </si>
  <si>
    <t>AI Media</t>
  </si>
  <si>
    <t>AI Edit Video — source mixing</t>
  </si>
  <si>
    <t>Cần thay task HTML-video chưa chứng minh hiệu quả</t>
  </si>
  <si>
    <r>
      <rPr>
        <sz val="9"/>
        <color rgb="FF203040"/>
        <rFont val="Helvetica Neue Regular"/>
        <charset val="134"/>
      </rPr>
      <t xml:space="preserve">Xây workflow source manifest </t>
    </r>
    <r>
      <rPr>
        <sz val="9"/>
        <color rgb="FF203040"/>
        <rFont val="Carlito"/>
        <charset val="134"/>
      </rPr>
      <t>→</t>
    </r>
    <r>
      <rPr>
        <sz val="9"/>
        <color rgb="FF203040"/>
        <rFont val="Helvetica Neue Regular"/>
        <charset val="134"/>
      </rPr>
      <t xml:space="preserve"> edit map </t>
    </r>
    <r>
      <rPr>
        <sz val="9"/>
        <color rgb="FF203040"/>
        <rFont val="Carlito"/>
        <charset val="134"/>
      </rPr>
      <t>→</t>
    </r>
    <r>
      <rPr>
        <sz val="9"/>
        <color rgb="FF203040"/>
        <rFont val="Helvetica Neue Regular"/>
        <charset val="134"/>
      </rPr>
      <t xml:space="preserve"> mix </t>
    </r>
    <r>
      <rPr>
        <sz val="9"/>
        <color rgb="FF203040"/>
        <rFont val="Carlito"/>
        <charset val="134"/>
      </rPr>
      <t>→</t>
    </r>
    <r>
      <rPr>
        <sz val="9"/>
        <color rgb="FF203040"/>
        <rFont val="Helvetica Neue Regular"/>
        <charset val="134"/>
      </rPr>
      <t xml:space="preserve"> QA/handoff</t>
    </r>
  </si>
  <si>
    <t>3 ngày</t>
  </si>
  <si>
    <t>2026-08-23</t>
  </si>
  <si>
    <t>AI Media / video-editor</t>
  </si>
  <si>
    <t>AI Clone Video</t>
  </si>
  <si>
    <r>
      <rPr>
        <sz val="9"/>
        <color rgb="FF203040"/>
        <rFont val="Helvetica Neue Regular"/>
        <charset val="134"/>
      </rPr>
      <t xml:space="preserve">Video </t>
    </r>
    <r>
      <rPr>
        <sz val="9"/>
        <color rgb="FF203040"/>
        <rFont val="Carlito"/>
        <charset val="134"/>
      </rPr>
      <t>→</t>
    </r>
    <r>
      <rPr>
        <sz val="9"/>
        <color rgb="FF203040"/>
        <rFont val="Helvetica Neue Regular"/>
        <charset val="134"/>
      </rPr>
      <t xml:space="preserve"> shooting script chưa đủ chi tiết</t>
    </r>
  </si>
  <si>
    <t>Defer 1 tuần để tối ưu khả năng đọc/xem video phù hợp workflow clone</t>
  </si>
  <si>
    <t>1 tuần</t>
  </si>
  <si>
    <t>2026-08-24–2026-08-30</t>
  </si>
  <si>
    <t>HTML Video</t>
  </si>
  <si>
    <t>Content + AI Media chưa xác định potential hiệu quả</t>
  </si>
  <si>
    <t>Drop khỏi current 30-day plan; không build song song</t>
  </si>
  <si>
    <t>—</t>
  </si>
  <si>
    <t>30-day plan re-baseline</t>
  </si>
  <si>
    <t>Infrastructure/logic/fix vượt estimate; task phát sinh gây delay</t>
  </si>
  <si>
    <t>Weekly checkpoint + giữ Task 1/Go-No-Go mốc mới</t>
  </si>
  <si>
    <t>Re-baseline</t>
  </si>
  <si>
    <t>Task 1: 2026-09-13; Go/No-Go Task 2: 2026-09-14</t>
  </si>
  <si>
    <t>4. Tech stack readiness</t>
  </si>
  <si>
    <t>STT</t>
  </si>
  <si>
    <t>Tool / model / framework</t>
  </si>
  <si>
    <t>Category</t>
  </si>
  <si>
    <t>Chức năng</t>
  </si>
  <si>
    <t>Required?</t>
  </si>
  <si>
    <t>Availability</t>
  </si>
  <si>
    <t>Install / setup</t>
  </si>
  <si>
    <t>Workflow sử dụng</t>
  </si>
  <si>
    <t>Source / docs</t>
  </si>
  <si>
    <t>Repository</t>
  </si>
  <si>
    <t>Git</t>
  </si>
  <si>
    <t>Clone, branch, inspect commit and trace source</t>
  </si>
  <si>
    <t>Required</t>
  </si>
  <si>
    <t>Có trong bundled runtime</t>
  </si>
  <si>
    <t>Verify `git --version`; use approved repo</t>
  </si>
  <si>
    <t>All workflows</t>
  </si>
  <si>
    <t>Repo origin / main</t>
  </si>
  <si>
    <t>Runtime</t>
  </si>
  <si>
    <t>Node.js</t>
  </si>
  <si>
    <t>Run skills, artifact tooling and HTML/video helpers</t>
  </si>
  <si>
    <t>Có — bundled runtime</t>
  </si>
  <si>
    <t>Use approved Node path; keep node_modules local</t>
  </si>
  <si>
    <t>Workspace runtime</t>
  </si>
  <si>
    <t>Python 3</t>
  </si>
  <si>
    <t>Run local video/image helper scripts and Veo tools</t>
  </si>
  <si>
    <t>Use bundled Python; validate before handoff</t>
  </si>
  <si>
    <t>Video/timelapse</t>
  </si>
  <si>
    <t>Input/governance</t>
  </si>
  <si>
    <t>Notion API + notion2goal</t>
  </si>
  <si>
    <t>Pull ticket, create GOAL, writeback approved artifacts</t>
  </si>
  <si>
    <t>Source code có; credential local-only</t>
  </si>
  <si>
    <t>Share DB; keep `env.local` untracked</t>
  </si>
  <si>
    <t>All handoff workflows</t>
  </si>
  <si>
    <t>PRODUCTION/env.local</t>
  </si>
  <si>
    <t>LLM/orchestration</t>
  </si>
  <si>
    <t>Claude Sonnet 5 + Claude Code</t>
  </si>
  <si>
    <t>Current best-known path for AI Video Creative</t>
  </si>
  <si>
    <t>Required for UGC stabilization</t>
  </si>
  <si>
    <t>Access works per user report</t>
  </si>
  <si>
    <t>Keep contract/checkpoint prompts; log model</t>
  </si>
  <si>
    <t>AI Video Creative</t>
  </si>
  <si>
    <t>User weekly status</t>
  </si>
  <si>
    <t>Codex + Terra 5.6</t>
  </si>
  <si>
    <t>Mid-tier compatibility target</t>
  </si>
  <si>
    <t>Target / fallback</t>
  </si>
  <si>
    <t>Available but unstable in UGC</t>
  </si>
  <si>
    <t>Add guardrails, bounded retries, regression matrix</t>
  </si>
  <si>
    <t>Audio/timing</t>
  </si>
  <si>
    <t>Gemini TTS / timing</t>
  </si>
  <si>
    <t>Generate voice timing lock and per-line audio</t>
  </si>
  <si>
    <t>Required for AI video</t>
  </si>
  <si>
    <t>Service access required</t>
  </si>
  <si>
    <t>Configure approved Gemini access; save timing lock</t>
  </si>
  <si>
    <t>AI Video Creative; AI Clone Video</t>
  </si>
  <si>
    <t>gemini-tts-timing</t>
  </si>
  <si>
    <t>Status</t>
  </si>
  <si>
    <t>Count</t>
  </si>
  <si>
    <t>Video generation</t>
  </si>
  <si>
    <t>FlowKit + Google Flow + Chrome</t>
  </si>
  <si>
    <t>Create refs and Omni clips</t>
  </si>
  <si>
    <t>Source present; auth/extension local</t>
  </si>
  <si>
    <t>Run FlowKit preflight; verify Chrome auth</t>
  </si>
  <si>
    <t>PRODUCTION/video_modules/flowkit</t>
  </si>
  <si>
    <t>Core complete / stabilize</t>
  </si>
  <si>
    <t>Video processing</t>
  </si>
  <si>
    <t>FFmpeg + ffprobe</t>
  </si>
  <si>
    <t>Upscale fallback, concat, subtitles, audio mix, metadata QA</t>
  </si>
  <si>
    <t>Verify on machine</t>
  </si>
  <si>
    <t>Install/verify binary and PATH</t>
  </si>
  <si>
    <t>Video workflows; AI Edit Video</t>
  </si>
  <si>
    <t>ffmpeg-upscale-video / post skills</t>
  </si>
  <si>
    <t>Core complete / optimize</t>
  </si>
  <si>
    <t>Voice</t>
  </si>
  <si>
    <t>Applio</t>
  </si>
  <si>
    <t>Voice alignment/conversion for approved strategy</t>
  </si>
  <si>
    <t>Required for UGC voice path</t>
  </si>
  <si>
    <t>Nested repo / model assets local</t>
  </si>
  <si>
    <t>Clone/setup separately; never commit models/secrets</t>
  </si>
  <si>
    <t>PRODUCTION/video_modules/Applio</t>
  </si>
  <si>
    <t>Pending</t>
  </si>
  <si>
    <t>Composition/render</t>
  </si>
  <si>
    <t>HyperFrames</t>
  </si>
  <si>
    <t>HTML frame render and A-roll overlays</t>
  </si>
  <si>
    <t>Required for HTML/edit paths</t>
  </si>
  <si>
    <t>Nested repo / node_modules local</t>
  </si>
  <si>
    <t>Install nested runtime and snapshot/render</t>
  </si>
  <si>
    <t>HTML Carousel; AI Edit Video</t>
  </si>
  <si>
    <t>PRODUCTION/video_modules/hyperframes</t>
  </si>
  <si>
    <t>Planned</t>
  </si>
  <si>
    <t>Browser render</t>
  </si>
  <si>
    <t>Playwright</t>
  </si>
  <si>
    <t>Render HTML carousel/frame previews</t>
  </si>
  <si>
    <t>Required for HTML</t>
  </si>
  <si>
    <t>Bundled/verify</t>
  </si>
  <si>
    <t>Run browser install only if runtime requires</t>
  </si>
  <si>
    <t>HTML Carousel; HTML Video (Dropped)</t>
  </si>
  <si>
    <t>html-carousel-gen</t>
  </si>
  <si>
    <t>5. Workflow master list</t>
  </si>
  <si>
    <t>Vertex AI / Veo 3.1</t>
  </si>
  <si>
    <t>First/last frame morph for timelapse</t>
  </si>
  <si>
    <t>Required for timelapse</t>
  </si>
  <si>
    <t>API entitlement required</t>
  </si>
  <si>
    <t>Validate model ID, quota and RAI behavior</t>
  </si>
  <si>
    <t>AI Timelapse Video</t>
  </si>
  <si>
    <t>gemini-veo-3.1-video-gen</t>
  </si>
  <si>
    <t>Tên workflow</t>
  </si>
  <si>
    <t>Goal file</t>
  </si>
  <si>
    <t>Dạng nội dung tạo ra</t>
  </si>
  <si>
    <t>Handoff scope</t>
  </si>
  <si>
    <t>Priority</t>
  </si>
  <si>
    <t>Ảnh demo</t>
  </si>
  <si>
    <t>Repo file URL</t>
  </si>
  <si>
    <t>Ngày khởi tạo</t>
  </si>
  <si>
    <t>Ngày hoàn thành</t>
  </si>
  <si>
    <t>Detail sheet</t>
  </si>
  <si>
    <t>Owner/role</t>
  </si>
  <si>
    <t>Skill chính</t>
  </si>
  <si>
    <t>Toolset chính</t>
  </si>
  <si>
    <t>Blocker</t>
  </si>
  <si>
    <t>Next milestone</t>
  </si>
  <si>
    <t>Human QA</t>
  </si>
  <si>
    <t>Feasibility</t>
  </si>
  <si>
    <t>Notes</t>
  </si>
  <si>
    <t>PRODUCTION/goal/[social]_[ai-ugc-short-video].md</t>
  </si>
  <si>
    <t>Video — AI UGC</t>
  </si>
  <si>
    <t>Handoff</t>
  </si>
  <si>
    <t>P0</t>
  </si>
  <si>
    <t>13-08-2026</t>
  </si>
  <si>
    <r>
      <rPr>
        <sz val="9"/>
        <color rgb="FF203040"/>
        <rFont val="Helvetica Neue Regular"/>
        <charset val="134"/>
      </rPr>
      <t xml:space="preserve">AI Media / content </t>
    </r>
    <r>
      <rPr>
        <sz val="9"/>
        <color rgb="FF203040"/>
        <rFont val="Carlito"/>
        <charset val="134"/>
      </rPr>
      <t>→</t>
    </r>
    <r>
      <rPr>
        <sz val="9"/>
        <color rgb="FF203040"/>
        <rFont val="Helvetica Neue Regular"/>
        <charset val="134"/>
      </rPr>
      <t xml:space="preserve"> designer </t>
    </r>
    <r>
      <rPr>
        <sz val="9"/>
        <color rgb="FF203040"/>
        <rFont val="Carlito"/>
        <charset val="134"/>
      </rPr>
      <t>→</t>
    </r>
    <r>
      <rPr>
        <sz val="9"/>
        <color rgb="FF203040"/>
        <rFont val="Helvetica Neue Regular"/>
        <charset val="134"/>
      </rPr>
      <t xml:space="preserve"> video-editor</t>
    </r>
  </si>
  <si>
    <t>notion2goal; gemini-tts-timing; write-shooting-script; write-ai-ugc-video-sequence-script; FlowKit; Applio; FFmpeg; QA</t>
  </si>
  <si>
    <t>Claude Sonnet 5 + Claude Code; FlowKit/Google Flow; Gemini TTS; Applio; FFmpeg; HyperFrames; Notion</t>
  </si>
  <si>
    <t>Codex + Terra 5.6 hay loop task, misunderstanding, mislead; cần regression matrix và guardrails.</t>
  </si>
  <si>
    <t>Ổn định mid-tier model/framework — 2026-08-20</t>
  </si>
  <si>
    <t>Bắt buộc human QA + claim/brand gate</t>
  </si>
  <si>
    <t>Khả thi cao sau khi chốt lớp tương thích model</t>
  </si>
  <si>
    <t>Workflow end-to-end hoàn thiện nhất; Claude Sonnet 5 + Claude Code đang chạy trơn tru.</t>
  </si>
  <si>
    <t>PRODUCTION/goal/[social]_[ai-clone-short-video].md</t>
  </si>
  <si>
    <t>Video — Bất kì dạng nội dung nào cần clone</t>
  </si>
  <si>
    <t>P1</t>
  </si>
  <si>
    <r>
      <rPr>
        <sz val="9"/>
        <color rgb="FF203040"/>
        <rFont val="Helvetica Neue Regular"/>
        <charset val="134"/>
      </rPr>
      <t xml:space="preserve">AI Media / researcher </t>
    </r>
    <r>
      <rPr>
        <sz val="9"/>
        <color rgb="FF203040"/>
        <rFont val="Carlito"/>
        <charset val="134"/>
      </rPr>
      <t>→</t>
    </r>
    <r>
      <rPr>
        <sz val="9"/>
        <color rgb="FF203040"/>
        <rFont val="Helvetica Neue Regular"/>
        <charset val="134"/>
      </rPr>
      <t xml:space="preserve"> content </t>
    </r>
    <r>
      <rPr>
        <sz val="9"/>
        <color rgb="FF203040"/>
        <rFont val="Carlito"/>
        <charset val="134"/>
      </rPr>
      <t>→</t>
    </r>
    <r>
      <rPr>
        <sz val="9"/>
        <color rgb="FF203040"/>
        <rFont val="Helvetica Neue Regular"/>
        <charset val="134"/>
      </rPr>
      <t xml:space="preserve"> designer </t>
    </r>
    <r>
      <rPr>
        <sz val="9"/>
        <color rgb="FF203040"/>
        <rFont val="Carlito"/>
        <charset val="134"/>
      </rPr>
      <t>→</t>
    </r>
    <r>
      <rPr>
        <sz val="9"/>
        <color rgb="FF203040"/>
        <rFont val="Helvetica Neue Regular"/>
        <charset val="134"/>
      </rPr>
      <t xml:space="preserve"> video-editor</t>
    </r>
  </si>
  <si>
    <t>crawl_describe_Tiktok_vid_kalodata; crawl_describe_Tiktok_vid_apify; write-shooting-script; write-ai-ugc-video-sequence-script; FlowKit; QA</t>
  </si>
  <si>
    <t>Kalodata/Apify crawler; Gemini; FlowKit; FFmpeg; Notion</t>
  </si>
  <si>
    <r>
      <rPr>
        <sz val="9"/>
        <color rgb="FF203040"/>
        <rFont val="Helvetica Neue Regular"/>
        <charset val="134"/>
      </rPr>
      <t xml:space="preserve">Khâu xem video </t>
    </r>
    <r>
      <rPr>
        <sz val="9"/>
        <color rgb="FF203040"/>
        <rFont val="Carlito"/>
        <charset val="134"/>
      </rPr>
      <t>→</t>
    </r>
    <r>
      <rPr>
        <sz val="9"/>
        <color rgb="FF203040"/>
        <rFont val="Helvetica Neue Regular"/>
        <charset val="134"/>
      </rPr>
      <t xml:space="preserve"> shooting script chưa đủ chi tiết để clone prompt hiệu quả.</t>
    </r>
  </si>
  <si>
    <t>Tối ưu video understanding — 2026-08-24 đến 2026-08-30 (tentative)</t>
  </si>
  <si>
    <t>Human QA bắt buộc; không clone nếu reference chưa được mô tả đủ</t>
  </si>
  <si>
    <r>
      <rPr>
        <sz val="9"/>
        <color rgb="FF203040"/>
        <rFont val="Helvetica Neue Regular"/>
        <charset val="134"/>
      </rPr>
      <t xml:space="preserve">Khả thi trung bình; bottleneck nằm ở video </t>
    </r>
    <r>
      <rPr>
        <sz val="9"/>
        <color rgb="FF203040"/>
        <rFont val="Carlito"/>
        <charset val="134"/>
      </rPr>
      <t>→</t>
    </r>
    <r>
      <rPr>
        <sz val="9"/>
        <color rgb="FF203040"/>
        <rFont val="Helvetica Neue Regular"/>
        <charset val="134"/>
      </rPr>
      <t xml:space="preserve"> shooting script</t>
    </r>
  </si>
  <si>
    <t>Các khâu sau tương tự AI Video Creative; tạm lùi sau khi bàn giao 3 workflow.</t>
  </si>
  <si>
    <t>Content type</t>
  </si>
  <si>
    <t>AI Commercial Video</t>
  </si>
  <si>
    <t>PRODUCTION/goal/[social]_[ai-commercial-short-video].md</t>
  </si>
  <si>
    <t>Video — AI commercial</t>
  </si>
  <si>
    <t>Not current handoff</t>
  </si>
  <si>
    <t>P2</t>
  </si>
  <si>
    <r>
      <rPr>
        <sz val="9"/>
        <color rgb="FF203040"/>
        <rFont val="Helvetica Neue Regular"/>
        <charset val="134"/>
      </rPr>
      <t xml:space="preserve">AI Media / designer </t>
    </r>
    <r>
      <rPr>
        <sz val="9"/>
        <color rgb="FF203040"/>
        <rFont val="Carlito"/>
        <charset val="134"/>
      </rPr>
      <t>→</t>
    </r>
    <r>
      <rPr>
        <sz val="9"/>
        <color rgb="FF203040"/>
        <rFont val="Helvetica Neue Regular"/>
        <charset val="134"/>
      </rPr>
      <t xml:space="preserve"> video-editor</t>
    </r>
  </si>
  <si>
    <t>write-shooting-script; write-ai-commercial-video-sequence-script; photography-direction; gemini-omni-video-gen; gpt-img-2-gen; notion-upload</t>
  </si>
  <si>
    <t>Gemini/FlowKit; GPT Image 2; FFmpeg; Notion</t>
  </si>
  <si>
    <t>Chưa nằm trong current 3-workflow handoff scope.</t>
  </si>
  <si>
    <t>Re-prioritize sau handoff hiện tại</t>
  </si>
  <si>
    <t>Human QA + commercial claim gate</t>
  </si>
  <si>
    <t>Chưa đánh giá đầy đủ trong tuần này</t>
  </si>
  <si>
    <t>Canonical goal active trong repo; chưa có điều chỉnh tiến độ riêng từ cập nhật tuần này.</t>
  </si>
  <si>
    <t>PRODUCTION/goal/[social]_[ai-construction-timelapse-short-video].md</t>
  </si>
  <si>
    <t>Video — AI timelapse</t>
  </si>
  <si>
    <t>construction-sequence-brainstorm; write-ai-timelapse-video-sequence-script; ai-timelapse-video; nano-banana-image-gen; gemini-veo-3.1-video-gen; notion-upload</t>
  </si>
  <si>
    <t>Gemini/Veo 3.1; Nano Banana; FFmpeg; Notion</t>
  </si>
  <si>
    <t>Chưa ưu tiên trong current handoff.</t>
  </si>
  <si>
    <t>Stage-chain continuity + human QA</t>
  </si>
  <si>
    <t>Khả thi trung bình; phụ thuộc keyframe continuity</t>
  </si>
  <si>
    <t>Goal active; cần kiểm tra keyframe chain và segment morph trước khi cam kết deadline.</t>
  </si>
  <si>
    <t>Video — AI clone</t>
  </si>
  <si>
    <t>AI Clone Creative</t>
  </si>
  <si>
    <t>PRODUCTION/goal/[social]_[ai_clone_creative].md</t>
  </si>
  <si>
    <t>Graphic — AI clone creative</t>
  </si>
  <si>
    <t>17-08-2026</t>
  </si>
  <si>
    <r>
      <rPr>
        <sz val="9"/>
        <color rgb="FF203040"/>
        <rFont val="Helvetica Neue Regular"/>
        <charset val="134"/>
      </rPr>
      <t xml:space="preserve">AI Media / content-executive </t>
    </r>
    <r>
      <rPr>
        <sz val="9"/>
        <color rgb="FF203040"/>
        <rFont val="Carlito"/>
        <charset val="134"/>
      </rPr>
      <t>→</t>
    </r>
    <r>
      <rPr>
        <sz val="9"/>
        <color rgb="FF203040"/>
        <rFont val="Helvetica Neue Regular"/>
        <charset val="134"/>
      </rPr>
      <t xml:space="preserve"> designer </t>
    </r>
    <r>
      <rPr>
        <sz val="9"/>
        <color rgb="FF203040"/>
        <rFont val="Carlito"/>
        <charset val="134"/>
      </rPr>
      <t>→</t>
    </r>
    <r>
      <rPr>
        <sz val="9"/>
        <color rgb="FF203040"/>
        <rFont val="Helvetica Neue Regular"/>
        <charset val="134"/>
      </rPr>
      <t xml:space="preserve"> QA</t>
    </r>
  </si>
  <si>
    <t>wiki-query; creative-direction; photography-direction; element-resolver; acad-image-gen; notion-upload</t>
  </si>
  <si>
    <t>Gemini/LLM; Nano Banana or 9Router; Notion; local brand kit</t>
  </si>
  <si>
    <t>Core đã xong; còn tối ưu để output đúng ý/yêu cầu hơn.</t>
  </si>
  <si>
    <t>Optimize output fit + QA rubric sau handoff</t>
  </si>
  <si>
    <t>QA target 9/10 + brand/claim gate</t>
  </si>
  <si>
    <t>Khả thi cao; tối ưu chất lượng còn tiếp tục</t>
  </si>
  <si>
    <t>Workflow clone creative graphic đã hoàn thiện và đang tối ưu chất lượng output 9/10.</t>
  </si>
  <si>
    <t>HTML Carousel</t>
  </si>
  <si>
    <t>PRODUCTION/goal/[social]_[html-carousel].md</t>
  </si>
  <si>
    <t>Graphic — HTML carousel</t>
  </si>
  <si>
    <r>
      <rPr>
        <sz val="9"/>
        <color rgb="FF203040"/>
        <rFont val="Helvetica Neue Regular"/>
        <charset val="134"/>
      </rPr>
      <t xml:space="preserve">AI Media / content-executive </t>
    </r>
    <r>
      <rPr>
        <sz val="9"/>
        <color rgb="FF203040"/>
        <rFont val="Carlito"/>
        <charset val="134"/>
      </rPr>
      <t>→</t>
    </r>
    <r>
      <rPr>
        <sz val="9"/>
        <color rgb="FF203040"/>
        <rFont val="Helvetica Neue Regular"/>
        <charset val="134"/>
      </rPr>
      <t xml:space="preserve"> designer</t>
    </r>
  </si>
  <si>
    <t>wiki-query; creative-direction; gpt-img-2-gen; html-creative-direction; element-resolver; notion-upload</t>
  </si>
  <si>
    <t>HyperFrames/HTML/CSS; Playwright; GPT Image 2; Notion</t>
  </si>
  <si>
    <t>Chưa nằm trong 3-workflow handoff; cần phân biệt static carousel với HTML-video.</t>
  </si>
  <si>
    <t>Pixel/render QA + brand/claim gate</t>
  </si>
  <si>
    <t>Khả thi trung bình; cần kiểm render runtime</t>
  </si>
  <si>
    <t>Giữ trong catalog; không nhầm với HTML-video đã drop.</t>
  </si>
  <si>
    <t>Human Short Video</t>
  </si>
  <si>
    <t>PRODUCTION/goal/[social]_[human-short-video].md</t>
  </si>
  <si>
    <t>Video — human/talking-head</t>
  </si>
  <si>
    <t>talking-head-editing; [html-video]-post-production-qa-broll-overlay; notion-upload</t>
  </si>
  <si>
    <t>Talking-head-editing; FFmpeg; HyperFrames; Notion</t>
  </si>
  <si>
    <t>Goal đang stub; phụ thuộc runtime talking-head.</t>
  </si>
  <si>
    <t>Define contract after current handoff</t>
  </si>
  <si>
    <t>Human review + audio/subtitle QA</t>
  </si>
  <si>
    <t>Chưa đủ dữ liệu để kết luận</t>
  </si>
  <si>
    <t>Không tự cam kết deadline từ goal stub.</t>
  </si>
  <si>
    <t>Graphic — AI creative/clone</t>
  </si>
  <si>
    <t>Image Carousel</t>
  </si>
  <si>
    <t>PRODUCTION/goal/[social]_[img-carousel].md</t>
  </si>
  <si>
    <t>Graphic — image carousel</t>
  </si>
  <si>
    <t>wiki-query; creative-direction; photography-direction; element-resolver; acad-image-gen; flowkit-nano-banana-image-gen; notion-upload</t>
  </si>
  <si>
    <t>GPT/Nano Banana image generation; brand kit; Notion</t>
  </si>
  <si>
    <t>Chưa nằm trong current handoff scope.</t>
  </si>
  <si>
    <t>Re-prioritize after P0 handoff</t>
  </si>
  <si>
    <t>Slide order + image/text/claim QA</t>
  </si>
  <si>
    <t>Khả thi trung bình-cao</t>
  </si>
  <si>
    <t>Catalog goal active.</t>
  </si>
  <si>
    <t>HTML News Summary</t>
  </si>
  <si>
    <t>PRODUCTION/goal/[social]_[industry-news-html-summery].md</t>
  </si>
  <si>
    <t>Graphic — HTML news summary</t>
  </si>
  <si>
    <t>P3</t>
  </si>
  <si>
    <r>
      <rPr>
        <sz val="9"/>
        <color rgb="FF203040"/>
        <rFont val="Helvetica Neue Regular"/>
        <charset val="134"/>
      </rPr>
      <t xml:space="preserve">AI Media / researcher </t>
    </r>
    <r>
      <rPr>
        <sz val="9"/>
        <color rgb="FF203040"/>
        <rFont val="Carlito"/>
        <charset val="134"/>
      </rPr>
      <t>→</t>
    </r>
    <r>
      <rPr>
        <sz val="9"/>
        <color rgb="FF203040"/>
        <rFont val="Helvetica Neue Regular"/>
        <charset val="134"/>
      </rPr>
      <t xml:space="preserve"> content </t>
    </r>
    <r>
      <rPr>
        <sz val="9"/>
        <color rgb="FF203040"/>
        <rFont val="Carlito"/>
        <charset val="134"/>
      </rPr>
      <t>→</t>
    </r>
    <r>
      <rPr>
        <sz val="9"/>
        <color rgb="FF203040"/>
        <rFont val="Helvetica Neue Regular"/>
        <charset val="134"/>
      </rPr>
      <t xml:space="preserve"> publisher</t>
    </r>
  </si>
  <si>
    <t>wiki-query; notion-upload</t>
  </si>
  <si>
    <t>Research sources; HTML/CSS runtime; Notion</t>
  </si>
  <si>
    <t>Needs source freshness and research QA; not a current handoff target.</t>
  </si>
  <si>
    <t>Define research scope before activation</t>
  </si>
  <si>
    <t>Source URL/date/claim verification</t>
  </si>
  <si>
    <t>Khả thi nhưng phụ thuộc research governance</t>
  </si>
  <si>
    <t>Do not reuse as a proxy for dropped HTML-video.</t>
  </si>
  <si>
    <t>Motion Graphic</t>
  </si>
  <si>
    <t>PRODUCTION/goal/[social]_[motion-graphic].md</t>
  </si>
  <si>
    <t>Graphic/video — motion graphic</t>
  </si>
  <si>
    <t>AI Media / design</t>
  </si>
  <si>
    <t>huashu-design; wiki-query; notion-upload</t>
  </si>
  <si>
    <t>Motion design runtime; HyperFrames; Notion</t>
  </si>
  <si>
    <t>Goal stub / `huashu-design` standalone skill not found in repo.</t>
  </si>
  <si>
    <t>Validate skill/runtime before scheduling</t>
  </si>
  <si>
    <t>Motion readability + brand QA</t>
  </si>
  <si>
    <t>Keep as pending catalog item; do not treat as completed.</t>
  </si>
  <si>
    <t>Single Static (AI Creative Graphic)</t>
  </si>
  <si>
    <t>PRODUCTION/goal/[social]_[single-static].md</t>
  </si>
  <si>
    <t>Graphic — single static</t>
  </si>
  <si>
    <t>Brand kit; Nano Banana/9Router; Notion</t>
  </si>
  <si>
    <t>Tối ưu text-in-image và safe zone per platform.</t>
  </si>
  <si>
    <t>Ổn định text readability + brand alignment</t>
  </si>
  <si>
    <t>Aspect ratio, text, brand, claim QA</t>
  </si>
  <si>
    <t>Khả thi cao; scope rõ</t>
  </si>
  <si>
    <t>Task AI Creative Graphic thực ra chính là Single Static; kiến trúc và HDSD đã hoàn thiện trong DOCS.</t>
  </si>
  <si>
    <t>Split 4 Image</t>
  </si>
  <si>
    <t>PRODUCTION/goal/[social]_[split-4-img].md</t>
  </si>
  <si>
    <t>Graphic — split 4 image</t>
  </si>
  <si>
    <t>AI Media / designer</t>
  </si>
  <si>
    <t>wiki-query; creative-direction; element-resolver; gpt-img-2-gen; split-4-image; notion-upload</t>
  </si>
  <si>
    <t>GPT Image 2; local image slicing; Notion</t>
  </si>
  <si>
    <t>Chưa nằm trong current 3-workflow handoff.</t>
  </si>
  <si>
    <t>2880x2880 base + 4 square tiles + order QA</t>
  </si>
  <si>
    <t>One composed base first, then mechanical split.</t>
  </si>
  <si>
    <t>AI Edit Video (Source Mixing)</t>
  </si>
  <si>
    <t>New task-local workflow / no canonical goal yet</t>
  </si>
  <si>
    <t>Video — edit/source mixing</t>
  </si>
  <si>
    <t>Chưa có repo URL</t>
  </si>
  <si>
    <t>[html-video]-post-production-qa-broll-overlay; [html-video]-subtitle-burn-talking-head; [html-video]-audio-mix; ffmpeg-upscale-video; notion-upload</t>
  </si>
  <si>
    <t>FFmpeg; HyperFrames; subtitle/audio mix; local source manifest; Notion</t>
  </si>
  <si>
    <t>Workflow mới; cần khóa source manifest, edit map và acceptance criteria trong 3 ngày.</t>
  </si>
  <si>
    <t>Build + test source-mixing workflow — 2026-08-23</t>
  </si>
  <si>
    <t>Human QA + source traceability + audio/subtitle QA</t>
  </si>
  <si>
    <t>Khả thi trung bình-cao; deterministic tooling giúp giảm rủi ro</t>
  </si>
  <si>
    <t>Thay thế task HTML-video trong current 30-day plan; là workflow thứ 3 bàn giao non-AI Media.</t>
  </si>
  <si>
    <t>HTML Video (Dropped)</t>
  </si>
  <si>
    <t>Video — HTML motion</t>
  </si>
  <si>
    <t>html-creative-direction; html-carousel-gen; [html-video]-script-lock; [html-video]-post-production-qa-broll-overlay</t>
  </si>
  <si>
    <t>HTML/CSS; HyperFrames; Playwright</t>
  </si>
  <si>
    <t>Content + AI Media chưa xác định được potential hiệu quả đủ để giữ trong plan.</t>
  </si>
  <si>
    <t>Không triển khai trong current 30-day plan</t>
  </si>
  <si>
    <t>Not applicable — dropped</t>
  </si>
  <si>
    <t>Chưa chứng minh hiệu quả; không nên đầu tư lúc này</t>
  </si>
  <si>
    <t>Đã drop và chuyển effort sang AI Edit Video (Source Mixing).</t>
  </si>
  <si>
    <t>6. Skill inventory</t>
  </si>
  <si>
    <t>Tên skill</t>
  </si>
  <si>
    <t>Repo URL/path</t>
  </si>
  <si>
    <t>Toolset dùng</t>
  </si>
  <si>
    <t>Role/scope</t>
  </si>
  <si>
    <t>notion2goal</t>
  </si>
  <si>
    <t>Compile Notion ticket thành Ticket.md và node/GOAL.md</t>
  </si>
  <si>
    <t>Notion API; Markdown; filesystem</t>
  </si>
  <si>
    <t>Governance/input</t>
  </si>
  <si>
    <t>Có trong repo</t>
  </si>
  <si>
    <t>All active workflows</t>
  </si>
  <si>
    <t>wiki-query</t>
  </si>
  <si>
    <t>Tra cứu brand voice, strategy và pattern trước khi viết</t>
  </si>
  <si>
    <t>LLM-Wiki; brand kit</t>
  </si>
  <si>
    <t>Research/content</t>
  </si>
  <si>
    <t>Tạo audio per-line và timing lock</t>
  </si>
  <si>
    <t>Gemini TTS; WAV; JSON</t>
  </si>
  <si>
    <t>Video timing</t>
  </si>
  <si>
    <t>write-shooting-script</t>
  </si>
  <si>
    <t>Chuyển brief/voice thành shooting script có timing</t>
  </si>
  <si>
    <t>Markdown; timing lock</t>
  </si>
  <si>
    <t>Content/video</t>
  </si>
  <si>
    <t>AI Video Creative; AI Clone Video; AI Commercial Video</t>
  </si>
  <si>
    <t>write-ai-ugc-video-sequence-script</t>
  </si>
  <si>
    <t>Viết JSON Omni sequence 4/6/8/10s</t>
  </si>
  <si>
    <t>Omni JSON; video templates</t>
  </si>
  <si>
    <t>Video sequence</t>
  </si>
  <si>
    <t>tea-ugc-ai-realism</t>
  </si>
  <si>
    <t>Tăng realism cho UGC sequence mà không phá schema</t>
  </si>
  <si>
    <t>UGC realism rules; JSON</t>
  </si>
  <si>
    <t>Video quality</t>
  </si>
  <si>
    <t>photography-direction</t>
  </si>
  <si>
    <t>Direction human/vibe-led và face/person reference</t>
  </si>
  <si>
    <t>Brand kit; reference retrieval</t>
  </si>
  <si>
    <t>Design</t>
  </si>
  <si>
    <t>AI Video Creative; AI Creative Graphic; Image Carousel; Single Static</t>
  </si>
  <si>
    <t>creative-direction</t>
  </si>
  <si>
    <t>Scored art direction cho graphic/carousel</t>
  </si>
  <si>
    <t>Templates; brand kit; scoring</t>
  </si>
  <si>
    <t>AI Creative Graphic; HTML Carousel; Image Carousel; Single Static; Split 4 Image</t>
  </si>
  <si>
    <t>element-resolver</t>
  </si>
  <si>
    <t>Resolve product/brand/person/reference assets</t>
  </si>
  <si>
    <t>Local refs; brand kit</t>
  </si>
  <si>
    <t>Design QA</t>
  </si>
  <si>
    <t>Video + graphic workflows</t>
  </si>
  <si>
    <t>acad-image-gen</t>
  </si>
  <si>
    <t>Render ảnh AI theo prompt/size</t>
  </si>
  <si>
    <t>9Router/image model</t>
  </si>
  <si>
    <t>Image render</t>
  </si>
  <si>
    <t>video-thumbnail</t>
  </si>
  <si>
    <t>Tạo thumbnail bám locked script/first beat</t>
  </si>
  <si>
    <t>Script; image generation</t>
  </si>
  <si>
    <t>Video packaging</t>
  </si>
  <si>
    <t>fk-create-project</t>
  </si>
  <si>
    <t>Tạo project và workspace refs trên FlowKit</t>
  </si>
  <si>
    <t>FlowKit runtime; Chrome</t>
  </si>
  <si>
    <t>Video refs</t>
  </si>
  <si>
    <t>Referenced by goal; verify runtime</t>
  </si>
  <si>
    <t>fk-gen-refs</t>
  </si>
  <si>
    <t>Đăng ký/generate character/product refs</t>
  </si>
  <si>
    <t>FlowKit; reference images</t>
  </si>
  <si>
    <t>flowkit-nano-banana-image-gen</t>
  </si>
  <si>
    <t>Generate reference-guided images via FlowKit</t>
  </si>
  <si>
    <t>FlowKit; Nano Banana</t>
  </si>
  <si>
    <t>Image refs</t>
  </si>
  <si>
    <t>fk-omni-video-gen</t>
  </si>
  <si>
    <t>Render Omni video clips per sequence</t>
  </si>
  <si>
    <t>FlowKit; Google Flow; Chrome</t>
  </si>
  <si>
    <t>Video render</t>
  </si>
  <si>
    <t>gwt-remove-watermark-video</t>
  </si>
  <si>
    <t>Remove watermark sau download theo QA gate</t>
  </si>
  <si>
    <t>FlowKit/Google Flow; video files</t>
  </si>
  <si>
    <t>Video post</t>
  </si>
  <si>
    <t>ffmpeg-upscale-video</t>
  </si>
  <si>
    <t>Fallback upscale deterministic local</t>
  </si>
  <si>
    <t>FFmpeg; ffprobe</t>
  </si>
  <si>
    <t>AI Video Creative; AI Edit Video</t>
  </si>
  <si>
    <t>[html-video]-post-production-qa-broll-overlay</t>
  </si>
  <si>
    <t>QA sau download, B-roll mapping và overlays</t>
  </si>
  <si>
    <t>FFmpeg; HyperFrames; JSON QA</t>
  </si>
  <si>
    <t>Video post/QA</t>
  </si>
  <si>
    <t>AI Video Creative; AI Edit Video; Human Short Video</t>
  </si>
  <si>
    <t>[html-video]-subtitle-burn-talking-head</t>
  </si>
  <si>
    <t>Burn subtitles cho talking-head/A-roll</t>
  </si>
  <si>
    <t>FFmpeg; subtitle timing</t>
  </si>
  <si>
    <t>[html-video]-audio-mix</t>
  </si>
  <si>
    <t>Mix voice, BGM và SFX</t>
  </si>
  <si>
    <t>FFmpeg; WAV/MP3</t>
  </si>
  <si>
    <t>notion-upload</t>
  </si>
  <si>
    <t>Writeback artifact/metadata và manifest</t>
  </si>
  <si>
    <t>Notion API; local env</t>
  </si>
  <si>
    <t>Có trong repo; credential local-only</t>
  </si>
  <si>
    <t>gpt-img-2-gen</t>
  </si>
  <si>
    <t>Render high-resolution images directly</t>
  </si>
  <si>
    <t>GPT Image 2 API</t>
  </si>
  <si>
    <t>Có trong repo; API access required</t>
  </si>
  <si>
    <t>AI Commercial Video; HTML Carousel; Split 4 Image</t>
  </si>
  <si>
    <t>split-4-image</t>
  </si>
  <si>
    <t>Slice one composed base thành 4 tiles</t>
  </si>
  <si>
    <t>Image processing; PNG/JPEG</t>
  </si>
  <si>
    <t>Image packaging</t>
  </si>
  <si>
    <t>Generate HTML carousel và render JPEG</t>
  </si>
  <si>
    <t>HTML/CSS; Playwright</t>
  </si>
  <si>
    <t>HTML graphic</t>
  </si>
  <si>
    <t>html-creative-direction</t>
  </si>
  <si>
    <t>Frame treatment và HTML content-slide direction</t>
  </si>
  <si>
    <t>HyperFrames; HTML/CSS</t>
  </si>
  <si>
    <t>HTML design</t>
  </si>
  <si>
    <t>Generate video via Veo 3.1 first/last frames</t>
  </si>
  <si>
    <t>Vertex AI; Python</t>
  </si>
  <si>
    <t>Timelapse/video</t>
  </si>
  <si>
    <t>ai-timelapse-video</t>
  </si>
  <si>
    <t>Chain keyframes, morph segments và concat BGM</t>
  </si>
  <si>
    <t>Veo 3.1; FFmpeg</t>
  </si>
  <si>
    <t>Timelapse</t>
  </si>
  <si>
    <t>construction-sequence-brainstorm</t>
  </si>
  <si>
    <t>Brainstorm logical stages cho construction/timelapse</t>
  </si>
  <si>
    <t>LLM; stage list</t>
  </si>
  <si>
    <t>Timelapse planning</t>
  </si>
  <si>
    <t>write-ai-commercial-video-sequence-script</t>
  </si>
  <si>
    <t>Viết commercial Omni scene JSON + refs</t>
  </si>
  <si>
    <t>Omni schema; image/video refs</t>
  </si>
  <si>
    <t>Commercial video</t>
  </si>
  <si>
    <t>write-ai-timelapse-video-sequence-script</t>
  </si>
  <si>
    <t>Viết keyframe + first/last frame sequence</t>
  </si>
  <si>
    <t>Veo prompts; keyframe chain</t>
  </si>
  <si>
    <t>talking-head-editing</t>
  </si>
  <si>
    <t>Local talking-head edit runtime</t>
  </si>
  <si>
    <t>Python/FFmpeg/local modules</t>
  </si>
  <si>
    <t>Video edit</t>
  </si>
  <si>
    <t>Local module; verify nested instructions</t>
  </si>
  <si>
    <t>huashu-design</t>
  </si>
  <si>
    <t>Referenced motion graphic design skill</t>
  </si>
  <si>
    <t>Referenced in goal only; standalone file not found</t>
  </si>
  <si>
    <t>Design runtime TBD</t>
  </si>
  <si>
    <t>Motion design</t>
  </si>
  <si>
    <t>Needs verification</t>
  </si>
  <si>
    <t>edit-source-mix</t>
  </si>
  <si>
    <r>
      <rPr>
        <sz val="9"/>
        <color rgb="FF203040"/>
        <rFont val="Helvetica Neue Regular"/>
        <charset val="134"/>
      </rPr>
      <t xml:space="preserve">New workflow: source manifest </t>
    </r>
    <r>
      <rPr>
        <sz val="9"/>
        <color rgb="FF203040"/>
        <rFont val="Carlito"/>
        <charset val="134"/>
      </rPr>
      <t>→</t>
    </r>
    <r>
      <rPr>
        <sz val="9"/>
        <color rgb="FF203040"/>
        <rFont val="Helvetica Neue Regular"/>
        <charset val="134"/>
      </rPr>
      <t xml:space="preserve"> edit map </t>
    </r>
    <r>
      <rPr>
        <sz val="9"/>
        <color rgb="FF203040"/>
        <rFont val="Carlito"/>
        <charset val="134"/>
      </rPr>
      <t>→</t>
    </r>
    <r>
      <rPr>
        <sz val="9"/>
        <color rgb="FF203040"/>
        <rFont val="Helvetica Neue Regular"/>
        <charset val="134"/>
      </rPr>
      <t xml:space="preserve"> mixed final</t>
    </r>
  </si>
  <si>
    <t>New task-local workflow; canonical goal TBD</t>
  </si>
  <si>
    <t>FFmpeg; HyperFrames; subtitle/audio</t>
  </si>
  <si>
    <t>Planned — build in 3 days</t>
  </si>
  <si>
    <t>7. Toolset master</t>
  </si>
  <si>
    <t>Tool</t>
  </si>
  <si>
    <t>Required/optional</t>
  </si>
  <si>
    <t>Install/setup</t>
  </si>
  <si>
    <t>Source/docs</t>
  </si>
  <si>
    <t>GPT Image 2 / image entitlement</t>
  </si>
  <si>
    <t>Image generation</t>
  </si>
  <si>
    <t>Commercial/4-grid/high-res image generation</t>
  </si>
  <si>
    <t>Required for selected graphics</t>
  </si>
  <si>
    <t>Verify key/access through approved environment</t>
  </si>
  <si>
    <t>WhisperX or equivalent text QA</t>
  </si>
  <si>
    <t>Video QA</t>
  </si>
  <si>
    <t>Transcription/subtitle text verification</t>
  </si>
  <si>
    <t>Recommended</t>
  </si>
  <si>
    <t>Need verify on machine</t>
  </si>
  <si>
    <t>Keep as QA dependency; do not expose credentials</t>
  </si>
  <si>
    <t>Architecture notes</t>
  </si>
  <si>
    <t>Video — AI UGC | Status: Core complete / stabilize | Feasibility: Khả thi cao sau khi chốt lớp tương thích model</t>
  </si>
  <si>
    <t>Quick links</t>
  </si>
  <si>
    <t>Weekly status note:
Workflow end-to-end hoàn thiện nhất; Claude Sonnet 5 + Claude Code đang chạy trơn tru.
Feasibility assessment:
Khả thi cao sau khi chốt lớp tương thích model
Blocker / risk:
Codex + Terra 5.6 hay loop task, misunderstanding, mislead; cần regression matrix và guardrails.</t>
  </si>
  <si>
    <t>Back to Master</t>
  </si>
  <si>
    <t>Repo source</t>
  </si>
  <si>
    <t>Demo / diagram</t>
  </si>
  <si>
    <t>HDSD source</t>
  </si>
  <si>
    <t>AI Media / content → designer → video-editor</t>
  </si>
  <si>
    <t>Repo file</t>
  </si>
  <si>
    <t>Nguồn docs</t>
  </si>
  <si>
    <t>DOCS/AI-VIDEO-CREATIVE-WORKFLOWS/Architecture.md + HDSD.md</t>
  </si>
  <si>
    <t>Known blocker</t>
  </si>
  <si>
    <t>1. Biểu đồ cơ chế / workflow mechanism</t>
  </si>
  <si>
    <t>Diagram source: AI-VIDEO-CREATIVE-WORKFLOW-DIAGRAM.png / Workflows-map.pdf</t>
  </si>
  <si>
    <t>Bước</t>
  </si>
  <si>
    <t>Mechanism stage</t>
  </si>
  <si>
    <t>Input</t>
  </si>
  <si>
    <t>Tool/skill</t>
  </si>
  <si>
    <t>Output</t>
  </si>
  <si>
    <t>Gate</t>
  </si>
  <si>
    <t>Notion ticket → Ticket.md + node/GOAL.md</t>
  </si>
  <si>
    <t>Ticket / source</t>
  </si>
  <si>
    <t>Intermediate artifact</t>
  </si>
  <si>
    <t>↓ checkpoint</t>
  </si>
  <si>
    <t>TTS timing lock → shooting script</t>
  </si>
  <si>
    <t>Artifact từ bước trước</t>
  </si>
  <si>
    <t>Visual references → thumbnail direction</t>
  </si>
  <si>
    <t>JSON Omni sequence → FlowKit/Google Flow clips</t>
  </si>
  <si>
    <t>1080p upscale → watermark removal → voice/post</t>
  </si>
  <si>
    <t>FlowKit</t>
  </si>
  <si>
    <t>Subtitle/BGM/SFX → final MP4 + manifest + human QA</t>
  </si>
  <si>
    <t>Final deliverable / handoff</t>
  </si>
  <si>
    <t>Human QA / manifest</t>
  </si>
  <si>
    <t>2. HDSD — hướng dẫn sử dụng</t>
  </si>
  <si>
    <t>Thao tác</t>
  </si>
  <si>
    <t>Output / DoD</t>
  </si>
  <si>
    <t>1</t>
  </si>
  <si>
    <t>Preflight</t>
  </si>
  <si>
    <t>Notion access, ticket, repo, local runtime</t>
  </si>
  <si>
    <t>Ticket.md + node/GOAL.md không còn placeholder</t>
  </si>
  <si>
    <t>content-executive</t>
  </si>
  <si>
    <t>2</t>
  </si>
  <si>
    <t>Timing &amp; script</t>
  </si>
  <si>
    <t>Approved dialogue/voice script</t>
  </si>
  <si>
    <t>timing-lock.json + shooting-script.md</t>
  </si>
  <si>
    <t>3</t>
  </si>
  <si>
    <t>Sequence design</t>
  </si>
  <si>
    <t>Shooting script + refs</t>
  </si>
  <si>
    <t>ugc-sequence-script.md với JSON Omni theo sequence</t>
  </si>
  <si>
    <t>content-executive/designer</t>
  </si>
  <si>
    <t>4</t>
  </si>
  <si>
    <t>Render</t>
  </si>
  <si>
    <t>JSON Omni + media IDs</t>
  </si>
  <si>
    <t>Raw clips và 1080p clips có render log</t>
  </si>
  <si>
    <t>video-editor</t>
  </si>
  <si>
    <t>5</t>
  </si>
  <si>
    <t>Post &amp; QA</t>
  </si>
  <si>
    <t>Clips, voice, B-roll, caption</t>
  </si>
  <si>
    <t>Final MP4, thumbnail, subtitle/audio QA, manifest.json</t>
  </si>
  <si>
    <t>video-editor/publisher</t>
  </si>
  <si>
    <t>3. Can thiệp khi lỗi / troubleshooting</t>
  </si>
  <si>
    <t>Triệu chứng</t>
  </si>
  <si>
    <t>Nguyên nhân khả dĩ</t>
  </si>
  <si>
    <t>Cách khắc phục</t>
  </si>
  <si>
    <t>Evidence/log cần lưu</t>
  </si>
  <si>
    <t>Stop condition</t>
  </si>
  <si>
    <t>Model loop / misunderstanding</t>
  </si>
  <si>
    <t>Model/framework mid-tier không giữ contract</t>
  </si>
  <si>
    <t>Giảm scope mỗi task; thêm checkpoint artifact; retry có giới hạn; ưu tiên Claude khi cần</t>
  </si>
  <si>
    <t>Prompt/run log + diff output</t>
  </si>
  <si>
    <t>Không tiếp tục nếu artifact lệch contract 2 lần</t>
  </si>
  <si>
    <t>Timing lệch thoại</t>
  </si>
  <si>
    <t>Không dùng timing lock trước khi chia sequence</t>
  </si>
  <si>
    <t>Chạy lại gemini-tts-timing; đóng gói lại 4/6/8/10s</t>
  </si>
  <si>
    <t>timing-lock.json + audio</t>
  </si>
  <si>
    <t>Không render sequence khi chưa khoá timing</t>
  </si>
  <si>
    <t>Character drift / video lỗi</t>
  </si>
  <si>
    <t>Thiếu refs hoặc JSON không bám schema</t>
  </si>
  <si>
    <t>Kiểm tra media IDs, Part A refs và schema; render lại scene lỗi</t>
  </si>
  <si>
    <t>refs manifest + scene log</t>
  </si>
  <si>
    <t>Dừng nếu sai nhân vật/sản phẩm</t>
  </si>
  <si>
    <t>Final audio/subtitle sai</t>
  </si>
  <si>
    <t>Concat hoặc audio mix không được QA</t>
  </si>
  <si>
    <t>Chạy scene QA → concat QA → subtitle/audio mix QA</t>
  </si>
  <si>
    <t>scene-qa.json + concat-qa.json</t>
  </si>
  <si>
    <t>Không bàn giao nếu claim/voice/text sai</t>
  </si>
  <si>
    <t>4. Skill / toolset / acceptance</t>
  </si>
  <si>
    <t>Acceptance gate</t>
  </si>
  <si>
    <t>Open item</t>
  </si>
  <si>
    <t>Nguyên tắc vận hành: không tự bịa claim/asset; giữ source trace; lưu log tại node/; chỉ bàn giao khi artifact tồn tại, QA pass và manifest hoàn tất. Với workflow mới hoặc chưa đủ acceptance criteria, dừng ở gate và ghi blocker thay vì chạy tiếp.</t>
  </si>
  <si>
    <t>5. Khó khăn khi vận hành workflow</t>
  </si>
  <si>
    <t>Điểm vận hành</t>
  </si>
  <si>
    <t>Khó khăn khi vận hành</t>
  </si>
  <si>
    <t>Tác động</t>
  </si>
  <si>
    <t>Biện pháp kiểm soát</t>
  </si>
  <si>
    <t>Owner / điểm kiểm soát</t>
  </si>
  <si>
    <t>Model/framework compatibility</t>
  </si>
  <si>
    <t>Cùng workflow nhưng Claude Sonnet 5 + Claude Code ổn định hơn Codex + Terra 5.6; có loop, misunderstanding, mislead.</t>
  </si>
  <si>
    <t>Output không nhất quán, tốn thời gian rerun và debug.</t>
  </si>
  <si>
    <t>Pin model trong run log; chia task nhỏ; bounded retry; checkpoint artifact; dùng Claude làm reference path.</t>
  </si>
  <si>
    <t>AI Media / model owner</t>
  </si>
  <si>
    <t>Chuỗi artifact dài</t>
  </si>
  <si>
    <t>GOAL → timing → shooting script → refs → JSON → scenes → post có nhiều điểm đứt.</t>
  </si>
  <si>
    <t>Một lỗi sớm làm sai các bước sau, khó truy nguyên.</t>
  </si>
  <si>
    <t>Mỗi bước phải có contract, file tồn tại, schema check và log trước khi chuyển bước.</t>
  </si>
  <si>
    <t>Role đang thực thi</t>
  </si>
  <si>
    <t>FlowKit/Chrome/auth/quota</t>
  </si>
  <si>
    <t>Google Flow, FlowKit extension và auth local có thể hết phiên hoặc thiếu quota.</t>
  </si>
  <si>
    <t>Không render được clip dù prompt đúng.</t>
  </si>
  <si>
    <t>Chạy preflight; lưu media ID/render log; chỉ dùng fallback đã duyệt.</t>
  </si>
  <si>
    <t>Video-editor</t>
  </si>
  <si>
    <t>Voice, subtitle và duration</t>
  </si>
  <si>
    <t>Timing thay đổi sau concat/upscale/voice sync.</t>
  </si>
  <si>
    <t>Final video lệch thoại, subtitle hoặc CTA.</t>
  </si>
  <si>
    <t>Khóa timing trước; chạy scene QA → concat QA → audio/subtitle QA sau edit cuối.</t>
  </si>
  <si>
    <t>Video-editor / human QA</t>
  </si>
  <si>
    <t>Infra và logic fix vượt estimate</t>
  </si>
  <si>
    <t>Fix một tầng có thể ảnh hưởng tầng sau; phát sinh task ngoài scope.</t>
  </si>
  <si>
    <t>Delay deadline và mất focus vào P0 handoff.</t>
  </si>
  <si>
    <t>Tách blocker theo stage; ghi change log; ưu tiên regression fixture và mốc P0.</t>
  </si>
  <si>
    <t>AI Media lead</t>
  </si>
  <si>
    <t>6. Vấn đề có thể mắc phải và phát sinh khi xây workflow</t>
  </si>
  <si>
    <t>Nhóm vấn đề</t>
  </si>
  <si>
    <t>Vấn đề / symptom</t>
  </si>
  <si>
    <t>Nguyên nhân gốc</t>
  </si>
  <si>
    <t>Cách khắc phục / giảm thiểu</t>
  </si>
  <si>
    <t>Khi nào escalate</t>
  </si>
  <si>
    <t>Scope/role boundary</t>
  </si>
  <si>
    <t>Role không rõ output hoặc quyền sửa file</t>
  </si>
  <si>
    <t>Loop giao việc, overwrite artifact, khó handoff</t>
  </si>
  <si>
    <t>Lock owner + output path + acceptance trước khi chạy</t>
  </si>
  <si>
    <t>Escalate nếu thiếu authority</t>
  </si>
  <si>
    <t>Model mislead</t>
  </si>
  <si>
    <t>Model tự suy diễn thay vì bám contract</t>
  </si>
  <si>
    <t>Prompt/schema/claim bị lệch</t>
  </si>
  <si>
    <t>Thêm examples, stop conditions, diff review và human checkpoint</t>
  </si>
  <si>
    <t>Escalate sau 2 lần lệch contract</t>
  </si>
  <si>
    <t>Regression sau khi sửa</t>
  </si>
  <si>
    <t>Fix post-production làm hỏng timing hoặc manifest</t>
  </si>
  <si>
    <t>Workflow tưởng đã xong nhưng output cũ không còn chạy</t>
  </si>
  <si>
    <t>Giữ fixture tối thiểu và chạy end-to-end smoke test sau fix</t>
  </si>
  <si>
    <t>Escalate khi regression lặp lại</t>
  </si>
  <si>
    <t>Task phát sinh</t>
  </si>
  <si>
    <t>Infrastructure/logic chưa tính đủ trong estimate</t>
  </si>
  <si>
    <t>Kéo lùi 30-day plan</t>
  </si>
  <si>
    <t>Ghi change request; không âm thầm mở rộng scope</t>
  </si>
  <si>
    <t>Escalate tại weekly checkpoint</t>
  </si>
  <si>
    <t>Claim/asset authority thiếu</t>
  </si>
  <si>
    <t>Ticket/listing/brand source chưa approved</t>
  </si>
  <si>
    <t>Không thể publish an toàn</t>
  </si>
  <si>
    <t>Dừng và đánh dấu REVIEW REQUIRED</t>
  </si>
  <si>
    <t>Escalate cho owner sản phẩm</t>
  </si>
  <si>
    <t>Phân biệt để xử lý đúng: khó khăn vận hành là vấn đề xuất hiện khi chạy workflow trên ticket thực tế; vấn đề xây workflow là gap về scope, logic, dependency, acceptance hoặc regression trong quá trình thiết kế/implement. Cả hai loại đều phải có owner, evidence và stop/escalate condition trước khi bàn giao.</t>
  </si>
  <si>
    <t>Video — AI clone | Status: Deferred | Feasibility: Khả thi trung bình; bottleneck nằm ở video → shooting script</t>
  </si>
  <si>
    <t>Weekly status note:
Các khâu sau tương tự AI Video Creative; tạm lùi sau khi bàn giao 3 workflow.
Feasibility assessment:
Khả thi trung bình; bottleneck nằm ở video → shooting script
Blocker / risk:
Khâu xem video → shooting script chưa đủ chi tiết để clone prompt hiệu quả.</t>
  </si>
  <si>
    <t>AI Media / researcher → content → designer → video-editor</t>
  </si>
  <si>
    <t>Goal file + user status update</t>
  </si>
  <si>
    <t>Khâu xem video → shooting script chưa đủ chi tiết để clone prompt hiệu quả.</t>
  </si>
  <si>
    <t>Reference TikTok → crawler + keyframes + source voice</t>
  </si>
  <si>
    <t>crawl_describe_Tiktok_vid_kalodata</t>
  </si>
  <si>
    <t>Reference sequence → detailed shooting script</t>
  </si>
  <si>
    <t>crawl_describe_Tiktok_vid_apify</t>
  </si>
  <si>
    <t>Timing lock → clone sequence JSON</t>
  </si>
  <si>
    <t>Company refs → FlowKit/Google Flow per scene</t>
  </si>
  <si>
    <t>Upscale/voice/post → clone final MP4</t>
  </si>
  <si>
    <t>QA against reference → manifest/handoff</t>
  </si>
  <si>
    <t>QA</t>
  </si>
  <si>
    <t>No dedicated diagram embedded; mechanism table is the working map.</t>
  </si>
  <si>
    <t>Ingest reference</t>
  </si>
  <si>
    <t>TikTok URL/MP4 + ticket</t>
  </si>
  <si>
    <t>Reference markdown, keyframes, voice structure</t>
  </si>
  <si>
    <t>researcher</t>
  </si>
  <si>
    <t>Describe video</t>
  </si>
  <si>
    <t>Keyframes + source voice</t>
  </si>
  <si>
    <t>Detailed shot/camera/pacing/action description</t>
  </si>
  <si>
    <t>Clone script</t>
  </si>
  <si>
    <t>Detailed description + approved brief</t>
  </si>
  <si>
    <t>Shooting script + timing lock + sequence JSON</t>
  </si>
  <si>
    <t>Render and post</t>
  </si>
  <si>
    <t>Refs + JSON sequence</t>
  </si>
  <si>
    <t>Clips, final MP4, thumbnail, manifest</t>
  </si>
  <si>
    <t>designer/video-editor</t>
  </si>
  <si>
    <t>Compare and review</t>
  </si>
  <si>
    <t>Reference + final</t>
  </si>
  <si>
    <t>Human review notes and remediation list</t>
  </si>
  <si>
    <t>human QA</t>
  </si>
  <si>
    <t>Shooting script quá chung</t>
  </si>
  <si>
    <t>AI không quan sát đủ camera/action/timing</t>
  </si>
  <si>
    <t>Thêm keyframe sampling, shot-by-shot fields, manual gap questions</t>
  </si>
  <si>
    <t>Keyframe set + observation checklist</t>
  </si>
  <si>
    <t>Defer nếu thiếu 3 trường: action, camera, timing</t>
  </si>
  <si>
    <t>Clone lệch pacing</t>
  </si>
  <si>
    <t>Sequence packing không theo source beat</t>
  </si>
  <si>
    <t>Khóa beat map trước khi viết JSON</t>
  </si>
  <si>
    <t>Beat map + timing lock</t>
  </si>
  <si>
    <t>Không chấp nhận nếu lệch hook/CTA</t>
  </si>
  <si>
    <t>Reference asset mismatch</t>
  </si>
  <si>
    <t>Crawler output không truy vết được</t>
  </si>
  <si>
    <t>Dùng fallback crawler và lưu source metadata</t>
  </si>
  <si>
    <t>Source URL + crawl log</t>
  </si>
  <si>
    <t>Stop khi nguồn reference không hợp lệ</t>
  </si>
  <si>
    <t>Video understanding</t>
  </si>
  <si>
    <t>AI đọc video chưa đủ chi tiết về shot, camera, action, pacing và voice.</t>
  </si>
  <si>
    <t>Shooting script chung chung; clone prompt không tái tạo được cơ chế nguồn.</t>
  </si>
  <si>
    <t>Keyframe sampling có dedupe; dùng shot-by-shot schema; hỏi gap trước khi viết script.</t>
  </si>
  <si>
    <t>Researcher / content-executive</t>
  </si>
  <si>
    <t>Reference ingest</t>
  </si>
  <si>
    <t>URL/MP4 có thể lỗi, keyframe thiếu hoặc source metadata không đầy đủ.</t>
  </si>
  <si>
    <t>Mất traceability hoặc clone sai beat.</t>
  </si>
  <si>
    <t>Lưu URL, collection date, keyframe set và fallback crawler result.</t>
  </si>
  <si>
    <t>Researcher</t>
  </si>
  <si>
    <t>Adaptation vs fidelity</t>
  </si>
  <si>
    <t>Giữ visual mechanism nhưng thay brand/product-owned elements.</t>
  </si>
  <si>
    <t>Output vừa không giống nguồn vừa không đúng brand.</t>
  </si>
  <si>
    <t>Tách source structure khỏi company-owned content; human compare trước render batch.</t>
  </si>
  <si>
    <t>Designer / human QA</t>
  </si>
  <si>
    <t>Review time</t>
  </si>
  <si>
    <t>Clone cần so sánh reference và final theo nhiều beat.</t>
  </si>
  <si>
    <t>Cycle review dài hơn creative video thông thường.</t>
  </si>
  <si>
    <t>Đặt acceptance theo hook, pacing, framing, CTA; chỉ sửa scene lệch.</t>
  </si>
  <si>
    <t>Observation schema thiếu</t>
  </si>
  <si>
    <t>Goal cũ chưa ép AI ghi đủ camera/action/timing</t>
  </si>
  <si>
    <t>Không thể tạo prompt clone hiệu quả</t>
  </si>
  <si>
    <t>Bổ sung fields bắt buộc và sample keyframe</t>
  </si>
  <si>
    <t>Escalate nếu thiếu 3 trường cốt lõi</t>
  </si>
  <si>
    <t>Keyframe sampling sai</t>
  </si>
  <si>
    <t>Khoảng lấy mẫu quá thưa hoặc dedupe nhầm</t>
  </si>
  <si>
    <t>Mất chuyển cảnh/gesture quan trọng</t>
  </si>
  <si>
    <t>Soát keyframe timeline trước khi viết shooting script</t>
  </si>
  <si>
    <t>Escalate khi beat map không đủ</t>
  </si>
  <si>
    <t>Reference source không hợp lệ</t>
  </si>
  <si>
    <t>Crawler fallback hoặc URL không có quyền dùng</t>
  </si>
  <si>
    <t>Workflow dừng giữa ingest</t>
  </si>
  <si>
    <t>Dừng; không thay bằng reference chưa duyệt</t>
  </si>
  <si>
    <t>Escalate cho ticket owner</t>
  </si>
  <si>
    <t>Clone prompt drift</t>
  </si>
  <si>
    <t>Thay quá nhiều yếu tố trong một lượt</t>
  </si>
  <si>
    <t>Không biết nguyên nhân lệch output</t>
  </si>
  <si>
    <t>Adapt từng lớp: structure → character → product → copy</t>
  </si>
  <si>
    <t>Escalate nếu QA dưới gate</t>
  </si>
  <si>
    <t>Graphic — AI clone creative | Status: Core complete / optimize | Feasibility: Khả thi cao; tối ưu chất lượng còn tiếp tục</t>
  </si>
  <si>
    <t>Weekly status note:
Workflow clone creative graphic đã hoàn thiện và đang tối ưu chất lượng output.
Feasibility assessment:
Khả thi cao; tối ưu chất lượng còn tiếp tục
Blocker / risk:
Core đã xong; còn tối ưu để output đúng ý/yêu cầu hơn.</t>
  </si>
  <si>
    <t>AI Media / content-executive → designer → QA</t>
  </si>
  <si>
    <t>DOCS/social-ai-clone-creative/Architecture.md + HDSD.md</t>
  </si>
  <si>
    <t>Input + contract</t>
  </si>
  <si>
    <t>Content executive direction</t>
  </si>
  <si>
    <t>Reference ingestion</t>
  </si>
  <si>
    <t>Designer adapts/render</t>
  </si>
  <si>
    <t>QA 9/10 + brand gate</t>
  </si>
  <si>
    <t>Writeback/delivery</t>
  </si>
  <si>
    <t>Diagram source: social-ai-clone-creative-WORKFLOW-DIAGRAM.png</t>
  </si>
  <si>
    <t>Contract</t>
  </si>
  <si>
    <t>Ticket + brand/product refs</t>
  </si>
  <si>
    <t>Ticket.md + creative brief</t>
  </si>
  <si>
    <t>Direction</t>
  </si>
  <si>
    <t>Brief + wiki/brand kit</t>
  </si>
  <si>
    <t>Scored creative direction</t>
  </si>
  <si>
    <t>Resolve refs</t>
  </si>
  <si>
    <t>Direction + required elements</t>
  </si>
  <si>
    <t>Resolved refs + prompt trace</t>
  </si>
  <si>
    <t>designer</t>
  </si>
  <si>
    <t>Approved direction</t>
  </si>
  <si>
    <t>Final graphic + QA</t>
  </si>
  <si>
    <t>QA-passed image</t>
  </si>
  <si>
    <t>Manifest + Notion writeback when authorized</t>
  </si>
  <si>
    <t>publisher</t>
  </si>
  <si>
    <t>Output chưa đúng ý</t>
  </si>
  <si>
    <t>Direction chưa đủ cụ thể hoặc template fit thấp</t>
  </si>
  <si>
    <t>Chạy refine/re-score; nêu rõ must-have/avoid</t>
  </si>
  <si>
    <t>Direction round + prompt</t>
  </si>
  <si>
    <t>Không publish khi score dưới gate</t>
  </si>
  <si>
    <t>Logo/product sai</t>
  </si>
  <si>
    <t>Reference resolver thiếu asset</t>
  </si>
  <si>
    <t>Bổ sung REF asset; kiểm brand kit</t>
  </si>
  <si>
    <t>Asset map</t>
  </si>
  <si>
    <t>Stop and review</t>
  </si>
  <si>
    <t>Text/claim sai</t>
  </si>
  <si>
    <t>Copy chưa đối chiếu source</t>
  </si>
  <si>
    <t>Dừng render/publish; đối chiếu Ticket</t>
  </si>
  <si>
    <t>Claim review</t>
  </si>
  <si>
    <t>REVIEW REQUIRED</t>
  </si>
  <si>
    <t>Creative direction chưa lock đủ must-have/avoid.</t>
  </si>
  <si>
    <t>Nhiều vòng regenerate, khó chốt.</t>
  </si>
  <si>
    <t>Dùng scored direction, refine theo round và ghi rõ lý do reject.</t>
  </si>
  <si>
    <t>Designer</t>
  </si>
  <si>
    <t>Brand/product reference</t>
  </si>
  <si>
    <t>Asset không đúng variant hoặc thiếu logo/product source.</t>
  </si>
  <si>
    <t>Graphic đẹp nhưng không dùng được.</t>
  </si>
  <si>
    <t>Element-resolver + brand kit check trước render.</t>
  </si>
  <si>
    <t>Designer / brand QA</t>
  </si>
  <si>
    <t>Text-in-image</t>
  </si>
  <si>
    <t>Copy dài, layout hoặc model text rendering lỗi.</t>
  </si>
  <si>
    <t>Sai spelling/claim hoặc text vỡ.</t>
  </si>
  <si>
    <t>Tách text placement khỏi image generation khi cần; proofread final.</t>
  </si>
  <si>
    <t>Content / designer</t>
  </si>
  <si>
    <t>QA 9/10 gate</t>
  </si>
  <si>
    <t>Output gần đúng nhưng chưa đạt structural fidelity.</t>
  </si>
  <si>
    <t>Bàn giao sớm làm tăng feedback vòng sau.</t>
  </si>
  <si>
    <t>Chấm gate trước writeback; lưu preview và feedback round.</t>
  </si>
  <si>
    <t>Template overfit</t>
  </si>
  <si>
    <t>Bám reference quá máy móc hoặc reuse historical copy</t>
  </si>
  <si>
    <t>Creative lệch campaign/brand</t>
  </si>
  <si>
    <t>Chỉ reuse mechanism; thay fact/copy bằng ticket hiện tại</t>
  </si>
  <si>
    <t>Escalate nếu template conflict</t>
  </si>
  <si>
    <t>Prompt iteration không trace</t>
  </si>
  <si>
    <t>Không lưu direction/prompt round</t>
  </si>
  <si>
    <t>Không biết vì sao output tốt/xấu</t>
  </si>
  <si>
    <t>Lưu images-prompts và feedback round trong node/</t>
  </si>
  <si>
    <t>Escalate khi không reproduce được</t>
  </si>
  <si>
    <t>Claim mutation</t>
  </si>
  <si>
    <t>Model tự thêm price/benefit/certification</t>
  </si>
  <si>
    <t>Rủi ro compliance</t>
  </si>
  <si>
    <t>Soát against approved source; mark REVIEW REQUIRED</t>
  </si>
  <si>
    <t>Escalate cho product owner</t>
  </si>
  <si>
    <t>Graphic — single static | Status: Core complete / stabilize | Feasibility: Khả thi cao; scope rõ</t>
  </si>
  <si>
    <t>Weekly status note:
Task AI Creative Graphic thực ra chính là Single Static; kiến trúc và HDSD đã hoàn thiện trong DOCS.
Feasibility assessment:
Khả thi cao; scope rõ
Blocker / risk:
Tối ưu text-in-image và safe zone per platform.</t>
  </si>
  <si>
    <t>AI Media / content-executive → designer</t>
  </si>
  <si>
    <t>DOCS/social-single-static/Architecture.md + HDSD.md</t>
  </si>
  <si>
    <t>Content executive gate</t>
  </si>
  <si>
    <t>Designer direction/render</t>
  </si>
  <si>
    <t>QA + writeback</t>
  </si>
  <si>
    <t>Delivery gate</t>
  </si>
  <si>
    <t>Diagram source: social-single-static-WORKFLOW-DIAGRAM.png</t>
  </si>
  <si>
    <t>Create contract</t>
  </si>
  <si>
    <t>Notion Post</t>
  </si>
  <si>
    <t>Ticket.md + GOAL.md</t>
  </si>
  <si>
    <t>Copy/brief</t>
  </si>
  <si>
    <t>Ticket + source</t>
  </si>
  <si>
    <t>caption.md + creative brief</t>
  </si>
  <si>
    <t>Design/render</t>
  </si>
  <si>
    <t>Brief + brand kit</t>
  </si>
  <si>
    <t>Final image + prompt trace</t>
  </si>
  <si>
    <t>QA/handoff</t>
  </si>
  <si>
    <t>Final image</t>
  </si>
  <si>
    <t>Manifest + authorized writeback</t>
  </si>
  <si>
    <t>No Ticket/GOAL</t>
  </si>
  <si>
    <t>Notion access/mapping issue</t>
  </si>
  <si>
    <t>Fix permission/field mapping; do not invent fact</t>
  </si>
  <si>
    <t>Command output</t>
  </si>
  <si>
    <t>Stop if placeholder remains</t>
  </si>
  <si>
    <t>Image wrong ratio</t>
  </si>
  <si>
    <t>Ticket vs renderer mismatch</t>
  </si>
  <si>
    <t>Render to supported aspect ratio</t>
  </si>
  <si>
    <t>File metadata</t>
  </si>
  <si>
    <t>No delivery until pass</t>
  </si>
  <si>
    <t>Brand/claim wrong</t>
  </si>
  <si>
    <t>Source not approved</t>
  </si>
  <si>
    <t>Return to approved Ticket/listing</t>
  </si>
  <si>
    <t>Review note</t>
  </si>
  <si>
    <t>Tối ưu text readability và safe zone.</t>
  </si>
  <si>
    <t>Notion field gaps</t>
  </si>
  <si>
    <t>Thiếu format/channel/topic/claim hoặc relation Campaign.</t>
  </si>
  <si>
    <t>Không tạo được Ticket/GOAL đúng.</t>
  </si>
  <si>
    <t>Preflight field mapping; dừng nếu thiếu field bắt buộc.</t>
  </si>
  <si>
    <t>Content-executive</t>
  </si>
  <si>
    <t>Aspect ratio/text</t>
  </si>
  <si>
    <t>Renderer hoặc copy không khớp platform.</t>
  </si>
  <si>
    <t>Ảnh bị crop hoặc text vỡ.</t>
  </si>
  <si>
    <t>Lock ticket size; kiểm safe zone và spelling sau render.</t>
  </si>
  <si>
    <t>Brand/claim review</t>
  </si>
  <si>
    <t>Historical template copy bị hiểu nhầm là fact hiện tại.</t>
  </si>
  <si>
    <t>Nguy cơ publish sai giá/claim.</t>
  </si>
  <si>
    <t>Đối chiếu Ticket + approved listing trước writeback.</t>
  </si>
  <si>
    <t>Human QA / publisher</t>
  </si>
  <si>
    <t>Template historical data</t>
  </si>
  <si>
    <t>Reference chứa giá/offer/date cũ</t>
  </si>
  <si>
    <t>Model copy nhầm dữ liệu</t>
  </si>
  <si>
    <t>Chỉ dùng layout; thay fact bằng source hiện tại</t>
  </si>
  <si>
    <t>Escalate nếu source conflict</t>
  </si>
  <si>
    <t>Copy rewrite drift</t>
  </si>
  <si>
    <t>Rewrite làm đổi số/claim/CTA</t>
  </si>
  <si>
    <t>Không trace được nội dung approved</t>
  </si>
  <si>
    <t>Diff draft vs rewrite; verify fact invariance</t>
  </si>
  <si>
    <t>Escalate khi fact đổi</t>
  </si>
  <si>
    <t>Publish authority</t>
  </si>
  <si>
    <t>Ticket không cấp quyền writeback</t>
  </si>
  <si>
    <t>Publish nhầm ngoài scope</t>
  </si>
  <si>
    <t>Không writeback nếu chưa được authorize</t>
  </si>
  <si>
    <t>Video — edit/source mixing | Status: Planned | Feasibility: Khả thi trung bình-cao; deterministic tooling giúp giảm rủi ro</t>
  </si>
  <si>
    <t>Weekly status note:
Thay thế task HTML-video trong current 30-day plan; là workflow thứ 3 bàn giao non-AI Media.
Feasibility assessment:
Khả thi trung bình-cao; deterministic tooling giúp giảm rủi ro
Blocker / risk:
Workflow mới; cần khóa source manifest, edit map và acceptance criteria trong 3 ngày.</t>
  </si>
  <si>
    <t>Source clips/B-roll/audio → source manifest</t>
  </si>
  <si>
    <t>Normalize/validate codec + aspect</t>
  </si>
  <si>
    <t>Edit map → source mixing</t>
  </si>
  <si>
    <t>B-roll/overlay/subtitle/audio mix</t>
  </si>
  <si>
    <t>Export QA → MP4 + manifest/handoff</t>
  </si>
  <si>
    <t>Source manifest</t>
  </si>
  <si>
    <t>A-roll, B-roll, audio, CTA</t>
  </si>
  <si>
    <t>Validated source list + metadata</t>
  </si>
  <si>
    <t>Edit map</t>
  </si>
  <si>
    <t>Approved brief + sources</t>
  </si>
  <si>
    <t>Sequence/timing map</t>
  </si>
  <si>
    <t>Source mixing</t>
  </si>
  <si>
    <t>Map + clips</t>
  </si>
  <si>
    <t>Draft cut with overlays/B-roll</t>
  </si>
  <si>
    <t>Audio/text</t>
  </si>
  <si>
    <t>Draft cut + voice/BGM/SFX</t>
  </si>
  <si>
    <t>Subtitles + mixed audio</t>
  </si>
  <si>
    <t>Export/handoff</t>
  </si>
  <si>
    <t>Final cut</t>
  </si>
  <si>
    <t>MP4 + QA log + manifest</t>
  </si>
  <si>
    <t>Missing/invalid source</t>
  </si>
  <si>
    <t>Path, codec, duration invalid</t>
  </si>
  <si>
    <t>Run file existence + metadata check before edit</t>
  </si>
  <si>
    <t>Source manifest/ffprobe</t>
  </si>
  <si>
    <t>Stop until source set passes</t>
  </si>
  <si>
    <t>A/B-roll mismatch</t>
  </si>
  <si>
    <t>Edit map lacks beat/timing</t>
  </si>
  <si>
    <t>Lock source-to-beat map; revise only affected segment</t>
  </si>
  <si>
    <t>Edit map + preview</t>
  </si>
  <si>
    <t>No handoff if product/CTA coverage wrong</t>
  </si>
  <si>
    <t>Audio clipping</t>
  </si>
  <si>
    <t>Mix levels not normalized</t>
  </si>
  <si>
    <t>Normalize voice/BGM/SFX and inspect peaks</t>
  </si>
  <si>
    <t>Audio QA log</t>
  </si>
  <si>
    <t>No delivery with clipping</t>
  </si>
  <si>
    <t>Subtitle drift</t>
  </si>
  <si>
    <t>Rendered duration changed after mix</t>
  </si>
  <si>
    <t>Recalculate subtitle timing after final concat</t>
  </si>
  <si>
    <t>Subtitle QA screenshot</t>
  </si>
  <si>
    <t>No handoff until sync passes</t>
  </si>
  <si>
    <t>Source heterogeneity</t>
  </si>
  <si>
    <t>A-roll/B-roll/audio khác codec, fps, resolution, aspect.</t>
  </si>
  <si>
    <t>Timeline lỗi, render chậm hoặc output lệch hình.</t>
  </si>
  <si>
    <t>Source manifest + normalize/validate trước edit.</t>
  </si>
  <si>
    <t>Edit map drift</t>
  </si>
  <si>
    <t>Beat/CTA không map rõ đến source clip.</t>
  </si>
  <si>
    <t>B-roll che sai nội dung hoặc thiếu product/CTA.</t>
  </si>
  <si>
    <t>Lock source-to-beat map; review preview từng segment.</t>
  </si>
  <si>
    <t>Video-editor / content</t>
  </si>
  <si>
    <t>Audio mix</t>
  </si>
  <si>
    <t>Voice/BGM/SFX có mức âm lượng khác nhau.</t>
  </si>
  <si>
    <t>Clipping, voice không rõ, mood sai.</t>
  </si>
  <si>
    <t>Normalize levels; inspect peaks; lưu audio QA.</t>
  </si>
  <si>
    <t>Subtitle duration</t>
  </si>
  <si>
    <t>Duration thay đổi sau concat hoặc overlay.</t>
  </si>
  <si>
    <t>Subtitle drift so với voice.</t>
  </si>
  <si>
    <t>Burn subtitle sau final timing; kiểm screenshot/frame samples.</t>
  </si>
  <si>
    <t>Video-editor / QA</t>
  </si>
  <si>
    <t>New workflow operating model</t>
  </si>
  <si>
    <t>Chưa có canonical goal/acceptance đầy đủ.</t>
  </si>
  <si>
    <t>Team hiểu khác nhau về done-when.</t>
  </si>
  <si>
    <t>Dùng source manifest, edit map, QA checklist và manifest làm contract tạm thời.</t>
  </si>
  <si>
    <t>Scope change from HTML-video</t>
  </si>
  <si>
    <t>Task mới thay task cũ trong khi plan đã chạy</t>
  </si>
  <si>
    <t>Estimate và dependency bị lệch</t>
  </si>
  <si>
    <t>Ghi change log; không build HTML-video song song</t>
  </si>
  <si>
    <t>Escalate tại plan checkpoint</t>
  </si>
  <si>
    <t>Acceptance criteria thiếu</t>
  </si>
  <si>
    <t>Chưa chốt platform, duration, codec, subtitle/audio requirements</t>
  </si>
  <si>
    <t>Không biết output nào được chấp nhận</t>
  </si>
  <si>
    <t>Chốt contract trước ngày build đầu tiên</t>
  </si>
  <si>
    <t>Escalate trước implementation</t>
  </si>
  <si>
    <t>Toolchain gap</t>
  </si>
  <si>
    <t>Thiếu FFmpeg/HyperFrames/subtitle/audio runtime trên máy bàn giao</t>
  </si>
  <si>
    <t>Workflow chạy được ở máy dev nhưng fail ở team nhận</t>
  </si>
  <si>
    <t>Machine readiness checklist + smoke test trên máy nhận</t>
  </si>
  <si>
    <t>Escalate nếu dependency missing</t>
  </si>
  <si>
    <t>Regression after overlay</t>
  </si>
  <si>
    <t>Overlay/B-roll làm lệch duration/audio/subtitle</t>
  </si>
  <si>
    <t>Final QA phải làm lại</t>
  </si>
  <si>
    <t>QA theo thứ tự source → edit → audio/text → export</t>
  </si>
  <si>
    <t>Video — HTML motion | Status: Dropped | Feasibility: Chưa chứng minh hiệu quả; không nên đầu tư lúc này</t>
  </si>
  <si>
    <t>Weekly status note:
Đã drop và chuyển effort sang AI Edit Video (Source Mixing).
Feasibility assessment:
Chưa chứng minh hiệu quả; không nên đầu tư lúc này
Blocker / risk:
Content + AI Media chưa xác định được potential hiệu quả đủ để giữ trong plan.</t>
  </si>
  <si>
    <t>Concept → HTML frame treatment</t>
  </si>
  <si>
    <t>HTML motion render</t>
  </si>
  <si>
    <t>Potential/effectiveness review</t>
  </si>
  <si>
    <t>[html-video]-script-lock</t>
  </si>
  <si>
    <t>Dropped before implementation</t>
  </si>
  <si>
    <t>Decision gate</t>
  </si>
  <si>
    <t>Use-case + expected impact</t>
  </si>
  <si>
    <t>Go/no-go decision</t>
  </si>
  <si>
    <t>AI Media/content</t>
  </si>
  <si>
    <t>If revived</t>
  </si>
  <si>
    <t>Approved scope + HTML runtime</t>
  </si>
  <si>
    <t>Pilot only</t>
  </si>
  <si>
    <t>Current plan</t>
  </si>
  <si>
    <t>None</t>
  </si>
  <si>
    <t>No implementation</t>
  </si>
  <si>
    <t>N/A</t>
  </si>
  <si>
    <t>Unclear effectiveness</t>
  </si>
  <si>
    <t>No success metric or use-case proof</t>
  </si>
  <si>
    <t>Do not build; define metric before revival</t>
  </si>
  <si>
    <t>Decision note</t>
  </si>
  <si>
    <t>Keep dropped</t>
  </si>
  <si>
    <t>Scope collision</t>
  </si>
  <si>
    <t>Overlaps source-mixing need</t>
  </si>
  <si>
    <t>Route effort to AI Edit Video</t>
  </si>
  <si>
    <t>Plan change log</t>
  </si>
  <si>
    <t>No parallel build</t>
  </si>
  <si>
    <t>Runtime cost</t>
  </si>
  <si>
    <t>HTML video render complexity</t>
  </si>
  <si>
    <t>Reassess after proven demand</t>
  </si>
  <si>
    <t>Pilot estimate</t>
  </si>
  <si>
    <t>No commitment</t>
  </si>
  <si>
    <t>No active operation</t>
  </si>
  <si>
    <t>Workflow đã drop khỏi current plan.</t>
  </si>
  <si>
    <t>Không được ngầm tiếp tục build hoặc tiêu tốn P0 capacity.</t>
  </si>
  <si>
    <t>Đánh dấu Dropped; route effort sang AI Edit Video.</t>
  </si>
  <si>
    <t>Effectiveness uncertainty</t>
  </si>
  <si>
    <t>Chưa có evidence về hiệu quả content/AI Media.</t>
  </si>
  <si>
    <t>Không có cơ sở để commit ROI/time.</t>
  </si>
  <si>
    <t>Chỉ revive khi có use-case, success metric và pilot scope.</t>
  </si>
  <si>
    <t>HTML motion overlap với source-mixing need.</t>
  </si>
  <si>
    <t>Đội bị chia effort và delay handoff.</t>
  </si>
  <si>
    <t>Giữ một owner/plan; không chạy song song.</t>
  </si>
  <si>
    <t>No success metric</t>
  </si>
  <si>
    <t>Không biết HTML-video giải quyết vấn đề nào</t>
  </si>
  <si>
    <t>Build xong vẫn không đánh giá được</t>
  </si>
  <si>
    <t>Định nghĩa metric trước khi revive</t>
  </si>
  <si>
    <t>Escalate tại go/no-go</t>
  </si>
  <si>
    <t>HTML motion cần browser/render dependency nhiều hơn static</t>
  </si>
  <si>
    <t>Setup và maintenance tăng</t>
  </si>
  <si>
    <t>Pilot nhỏ sau khi có demand rõ</t>
  </si>
  <si>
    <t>Escalate nếu cost vượt value</t>
  </si>
  <si>
    <t>Plan churn</t>
  </si>
  <si>
    <t>Phát sinh task mới làm đổi priority</t>
  </si>
  <si>
    <t>Deadline 30-day bị kéo lùi</t>
  </si>
  <si>
    <t>Ghi quyết định drop và kế hoạch thay thế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</si>
</sst>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51">
    <font>
      <sz val="11"/>
      <name val="Carlito"/>
      <charset val="134"/>
    </font>
    <font>
      <b/>
      <sz val="16"/>
      <color rgb="FFFFFFFF"/>
      <name val="Carlito"/>
      <charset val="134"/>
    </font>
    <font>
      <i/>
      <sz val="10"/>
      <color rgb="FF203040"/>
      <name val="Carlito"/>
      <charset val="134"/>
    </font>
    <font>
      <b/>
      <sz val="9"/>
      <color rgb="FF203040"/>
      <name val="Carlito"/>
      <charset val="134"/>
    </font>
    <font>
      <sz val="9"/>
      <color rgb="FF203040"/>
      <name val="Carlito"/>
      <charset val="134"/>
    </font>
    <font>
      <sz val="10"/>
      <color rgb="FF203040"/>
      <name val="Carlito"/>
      <charset val="134"/>
    </font>
    <font>
      <b/>
      <sz val="12"/>
      <color rgb="FFFFFFFF"/>
      <name val="Carlito"/>
      <charset val="134"/>
    </font>
    <font>
      <b/>
      <sz val="10"/>
      <color rgb="FFFFFFFF"/>
      <name val="Carlito"/>
      <charset val="134"/>
    </font>
    <font>
      <i/>
      <sz val="8"/>
      <color rgb="FF5C6B78"/>
      <name val="Carlito"/>
      <charset val="134"/>
    </font>
    <font>
      <sz val="9"/>
      <color rgb="FFB45309"/>
      <name val="Carlito"/>
      <charset val="134"/>
    </font>
    <font>
      <b/>
      <sz val="9"/>
      <color rgb="FFFFFFFF"/>
      <name val="Carlito"/>
      <charset val="134"/>
    </font>
    <font>
      <b/>
      <sz val="16"/>
      <color rgb="FFFF0000"/>
      <name val="Carlito"/>
      <charset val="134"/>
    </font>
    <font>
      <sz val="11"/>
      <name val="Helvetica Neue Regular"/>
      <charset val="134"/>
    </font>
    <font>
      <b/>
      <sz val="16"/>
      <color rgb="FFFFFFFF"/>
      <name val="Helvetica Neue Regular"/>
      <charset val="134"/>
    </font>
    <font>
      <i/>
      <sz val="10"/>
      <color rgb="FF203040"/>
      <name val="Helvetica Neue Regular"/>
      <charset val="134"/>
    </font>
    <font>
      <b/>
      <sz val="12"/>
      <color rgb="FFFFFFFF"/>
      <name val="Helvetica Neue Regular"/>
      <charset val="134"/>
    </font>
    <font>
      <b/>
      <sz val="9"/>
      <color rgb="FF203040"/>
      <name val="Helvetica Neue Regular"/>
      <charset val="134"/>
    </font>
    <font>
      <sz val="9"/>
      <color rgb="FF203040"/>
      <name val="Helvetica Neue Regular"/>
      <charset val="134"/>
    </font>
    <font>
      <b/>
      <sz val="9"/>
      <color rgb="FF1F6AA5"/>
      <name val="Helvetica Neue Regular"/>
      <charset val="134"/>
    </font>
    <font>
      <b/>
      <sz val="9"/>
      <color rgb="FF15803D"/>
      <name val="Helvetica Neue Regular"/>
      <charset val="134"/>
    </font>
    <font>
      <b/>
      <sz val="9"/>
      <color rgb="FFB45309"/>
      <name val="Helvetica Neue Regular"/>
      <charset val="134"/>
    </font>
    <font>
      <b/>
      <sz val="9"/>
      <color rgb="FF6D28D9"/>
      <name val="Helvetica Neue Regular"/>
      <charset val="134"/>
    </font>
    <font>
      <b/>
      <sz val="9"/>
      <color rgb="FFB91C1C"/>
      <name val="Helvetica Neue Regular"/>
      <charset val="134"/>
    </font>
    <font>
      <b/>
      <sz val="18"/>
      <color rgb="FF1F6AA5"/>
      <name val="Helvetica Neue Regular"/>
      <charset val="134"/>
    </font>
    <font>
      <b/>
      <sz val="18"/>
      <color rgb="FF15803D"/>
      <name val="Helvetica Neue Regular"/>
      <charset val="134"/>
    </font>
    <font>
      <b/>
      <sz val="18"/>
      <color rgb="FFB45309"/>
      <name val="Helvetica Neue Regular"/>
      <charset val="134"/>
    </font>
    <font>
      <b/>
      <sz val="18"/>
      <color rgb="FF6D28D9"/>
      <name val="Helvetica Neue Regular"/>
      <charset val="134"/>
    </font>
    <font>
      <b/>
      <sz val="18"/>
      <color rgb="FFB91C1C"/>
      <name val="Helvetica Neue Regular"/>
      <charset val="134"/>
    </font>
    <font>
      <b/>
      <sz val="10"/>
      <color rgb="FFFFFFFF"/>
      <name val="Helvetica Neue Regular"/>
      <charset val="134"/>
    </font>
    <font>
      <b/>
      <sz val="8"/>
      <color rgb="FFFFFFFF"/>
      <name val="Helvetica Neue Regular"/>
      <charset val="134"/>
    </font>
    <font>
      <sz val="8"/>
      <color rgb="FF203040"/>
      <name val="Helvetica Neue Regular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EAF3FB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1F6AA5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B91C1C"/>
        <bgColor indexed="64"/>
      </patternFill>
    </fill>
    <fill>
      <patternFill patternType="solid">
        <fgColor rgb="FF6D28D9"/>
        <bgColor indexed="64"/>
      </patternFill>
    </fill>
    <fill>
      <patternFill patternType="solid">
        <fgColor rgb="FFFFF4DB"/>
        <bgColor indexed="64"/>
      </patternFill>
    </fill>
    <fill>
      <patternFill patternType="solid">
        <fgColor rgb="FFE6F6F2"/>
        <bgColor indexed="64"/>
      </patternFill>
    </fill>
    <fill>
      <patternFill patternType="solid">
        <fgColor rgb="FFF1EAFE"/>
        <bgColor indexed="64"/>
      </patternFill>
    </fill>
    <fill>
      <patternFill patternType="solid">
        <fgColor rgb="FFFDECEC"/>
        <bgColor indexed="64"/>
      </patternFill>
    </fill>
    <fill>
      <patternFill patternType="solid">
        <fgColor rgb="FF15803D"/>
        <bgColor indexed="64"/>
      </patternFill>
    </fill>
    <fill>
      <patternFill patternType="solid">
        <fgColor rgb="FFB4530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/>
      <right style="thin">
        <color rgb="FFD5DEE7"/>
      </right>
      <top/>
      <bottom style="thin">
        <color rgb="FFD5DEE7"/>
      </bottom>
      <diagonal/>
    </border>
    <border>
      <left style="thin">
        <color rgb="FFD5DEE7"/>
      </left>
      <right style="thin">
        <color rgb="FFD5DEE7"/>
      </right>
      <top/>
      <bottom style="thin">
        <color rgb="FFD5DEE7"/>
      </bottom>
      <diagonal/>
    </border>
    <border>
      <left style="thin">
        <color rgb="FFD5DEE7"/>
      </left>
      <right/>
      <top/>
      <bottom style="thin">
        <color rgb="FFD5DEE7"/>
      </bottom>
      <diagonal/>
    </border>
    <border>
      <left style="thin">
        <color rgb="FFD5DEE7"/>
      </left>
      <right/>
      <top style="thin">
        <color rgb="FFD5DEE7"/>
      </top>
      <bottom/>
      <diagonal/>
    </border>
    <border>
      <left/>
      <right/>
      <top style="thin">
        <color rgb="FFD5DEE7"/>
      </top>
      <bottom/>
      <diagonal/>
    </border>
    <border>
      <left/>
      <right style="thin">
        <color rgb="FFD5DEE7"/>
      </right>
      <top style="thin">
        <color rgb="FFD5DEE7"/>
      </top>
      <bottom/>
      <diagonal/>
    </border>
    <border>
      <left/>
      <right style="thin">
        <color rgb="FFD5DEE7"/>
      </right>
      <top style="thin">
        <color rgb="FFD5DEE7"/>
      </top>
      <bottom style="thin">
        <color rgb="FFD5DEE7"/>
      </bottom>
      <diagonal/>
    </border>
    <border>
      <left style="thin">
        <color rgb="FFD5DEE7"/>
      </left>
      <right style="thin">
        <color rgb="FFD5DEE7"/>
      </right>
      <top style="thin">
        <color rgb="FFD5DEE7"/>
      </top>
      <bottom style="thin">
        <color rgb="FFD5DEE7"/>
      </bottom>
      <diagonal/>
    </border>
    <border>
      <left style="thin">
        <color rgb="FFD5DEE7"/>
      </left>
      <right/>
      <top style="thin">
        <color rgb="FFD5DEE7"/>
      </top>
      <bottom style="thin">
        <color rgb="FFD5DEE7"/>
      </bottom>
      <diagonal/>
    </border>
    <border>
      <left style="thin">
        <color rgb="FFD5DEE7"/>
      </left>
      <right/>
      <top/>
      <bottom/>
      <diagonal/>
    </border>
    <border>
      <left/>
      <right style="thin">
        <color rgb="FFD5DEE7"/>
      </right>
      <top/>
      <bottom/>
      <diagonal/>
    </border>
    <border>
      <left style="thin">
        <color rgb="FFD5DEE7"/>
      </left>
      <right style="thin">
        <color rgb="FFD5DEE7"/>
      </right>
      <top style="thin">
        <color rgb="FFD5DEE7"/>
      </top>
      <bottom/>
      <diagonal/>
    </border>
    <border>
      <left/>
      <right/>
      <top/>
      <bottom style="thin">
        <color rgb="FFD5DEE7"/>
      </bottom>
      <diagonal/>
    </border>
    <border>
      <left style="thin">
        <color rgb="FFD5DEE7"/>
      </left>
      <right style="thin">
        <color rgb="FFD5DEE7"/>
      </right>
      <top/>
      <bottom/>
      <diagonal/>
    </border>
    <border>
      <left/>
      <right/>
      <top style="thin">
        <color rgb="FFD5DEE7"/>
      </top>
      <bottom style="thin">
        <color rgb="FFD5DEE7"/>
      </bottom>
      <diagonal/>
    </border>
    <border>
      <left style="medium">
        <color auto="1"/>
      </left>
      <right style="thin">
        <color rgb="FFD5DEE7"/>
      </right>
      <top style="medium">
        <color auto="1"/>
      </top>
      <bottom style="medium">
        <color auto="1"/>
      </bottom>
      <diagonal/>
    </border>
    <border>
      <left style="thin">
        <color rgb="FFD5DEE7"/>
      </left>
      <right style="thin">
        <color rgb="FFD5DEE7"/>
      </right>
      <top style="medium">
        <color auto="1"/>
      </top>
      <bottom style="medium">
        <color auto="1"/>
      </bottom>
      <diagonal/>
    </border>
    <border>
      <left style="thin">
        <color rgb="FFD5DEE7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rgb="FFD5DEE7"/>
      </right>
      <top/>
      <bottom style="thin">
        <color rgb="FFD5DEE7"/>
      </bottom>
      <diagonal/>
    </border>
    <border>
      <left style="thin">
        <color rgb="FFD5DEE7"/>
      </left>
      <right style="medium">
        <color auto="1"/>
      </right>
      <top/>
      <bottom style="thin">
        <color rgb="FFD5DEE7"/>
      </bottom>
      <diagonal/>
    </border>
    <border>
      <left style="medium">
        <color auto="1"/>
      </left>
      <right style="thin">
        <color rgb="FFD5DEE7"/>
      </right>
      <top style="thin">
        <color rgb="FFD5DEE7"/>
      </top>
      <bottom style="thin">
        <color rgb="FFD5DEE7"/>
      </bottom>
      <diagonal/>
    </border>
    <border>
      <left style="thin">
        <color rgb="FFD5DEE7"/>
      </left>
      <right style="medium">
        <color auto="1"/>
      </right>
      <top style="thin">
        <color rgb="FFD5DEE7"/>
      </top>
      <bottom style="thin">
        <color rgb="FFD5DEE7"/>
      </bottom>
      <diagonal/>
    </border>
    <border>
      <left style="medium">
        <color auto="1"/>
      </left>
      <right style="thin">
        <color rgb="FFD5DEE7"/>
      </right>
      <top style="thin">
        <color rgb="FFD5DEE7"/>
      </top>
      <bottom style="medium">
        <color auto="1"/>
      </bottom>
      <diagonal/>
    </border>
    <border>
      <left style="thin">
        <color rgb="FFD5DEE7"/>
      </left>
      <right style="thin">
        <color rgb="FFD5DEE7"/>
      </right>
      <top style="thin">
        <color rgb="FFD5DEE7"/>
      </top>
      <bottom style="medium">
        <color auto="1"/>
      </bottom>
      <diagonal/>
    </border>
    <border>
      <left style="thin">
        <color rgb="FFD5DEE7"/>
      </left>
      <right style="medium">
        <color auto="1"/>
      </right>
      <top style="thin">
        <color rgb="FFD5DEE7"/>
      </top>
      <bottom style="medium">
        <color auto="1"/>
      </bottom>
      <diagonal/>
    </border>
    <border>
      <left style="thin">
        <color auto="1"/>
      </left>
      <right style="thin">
        <color rgb="FFD5DEE7"/>
      </right>
      <top style="thin">
        <color auto="1"/>
      </top>
      <bottom style="thin">
        <color rgb="FFD5DEE7"/>
      </bottom>
      <diagonal/>
    </border>
    <border>
      <left style="thin">
        <color rgb="FFD5DEE7"/>
      </left>
      <right style="thin">
        <color rgb="FFD5DEE7"/>
      </right>
      <top style="thin">
        <color auto="1"/>
      </top>
      <bottom style="thin">
        <color rgb="FFD5DEE7"/>
      </bottom>
      <diagonal/>
    </border>
    <border>
      <left style="thin">
        <color rgb="FFD5DEE7"/>
      </left>
      <right style="thin">
        <color auto="1"/>
      </right>
      <top style="thin">
        <color auto="1"/>
      </top>
      <bottom style="thin">
        <color rgb="FFD5DEE7"/>
      </bottom>
      <diagonal/>
    </border>
    <border>
      <left style="thin">
        <color auto="1"/>
      </left>
      <right style="thin">
        <color rgb="FFD5DEE7"/>
      </right>
      <top/>
      <bottom style="thin">
        <color rgb="FFD5DEE7"/>
      </bottom>
      <diagonal/>
    </border>
    <border>
      <left style="thin">
        <color rgb="FFD5DEE7"/>
      </left>
      <right style="thin">
        <color auto="1"/>
      </right>
      <top/>
      <bottom style="thin">
        <color rgb="FFD5DEE7"/>
      </bottom>
      <diagonal/>
    </border>
    <border>
      <left style="thin">
        <color auto="1"/>
      </left>
      <right style="thin">
        <color rgb="FFD5DEE7"/>
      </right>
      <top style="thin">
        <color rgb="FFD5DEE7"/>
      </top>
      <bottom style="thin">
        <color rgb="FFD5DEE7"/>
      </bottom>
      <diagonal/>
    </border>
    <border>
      <left style="thin">
        <color rgb="FFD5DEE7"/>
      </left>
      <right style="thin">
        <color auto="1"/>
      </right>
      <top style="thin">
        <color rgb="FFD5DEE7"/>
      </top>
      <bottom style="thin">
        <color rgb="FFD5DE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1" fillId="0" borderId="0" applyFont="0" applyFill="0" applyBorder="0" applyAlignment="0" applyProtection="0">
      <alignment vertical="center"/>
    </xf>
    <xf numFmtId="44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42" fontId="31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1" fillId="15" borderId="33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34" applyNumberFormat="0" applyFill="0" applyAlignment="0" applyProtection="0">
      <alignment vertical="center"/>
    </xf>
    <xf numFmtId="0" fontId="38" fillId="0" borderId="34" applyNumberFormat="0" applyFill="0" applyAlignment="0" applyProtection="0">
      <alignment vertical="center"/>
    </xf>
    <xf numFmtId="0" fontId="39" fillId="0" borderId="35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16" borderId="36" applyNumberFormat="0" applyAlignment="0" applyProtection="0">
      <alignment vertical="center"/>
    </xf>
    <xf numFmtId="0" fontId="41" fillId="17" borderId="37" applyNumberFormat="0" applyAlignment="0" applyProtection="0">
      <alignment vertical="center"/>
    </xf>
    <xf numFmtId="0" fontId="42" fillId="17" borderId="36" applyNumberFormat="0" applyAlignment="0" applyProtection="0">
      <alignment vertical="center"/>
    </xf>
    <xf numFmtId="0" fontId="43" fillId="18" borderId="38" applyNumberFormat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5" fillId="0" borderId="40" applyNumberFormat="0" applyFill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50" fillId="35" borderId="0" applyNumberFormat="0" applyBorder="0" applyAlignment="0" applyProtection="0">
      <alignment vertical="center"/>
    </xf>
    <xf numFmtId="0" fontId="50" fillId="36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50" fillId="39" borderId="0" applyNumberFormat="0" applyBorder="0" applyAlignment="0" applyProtection="0">
      <alignment vertical="center"/>
    </xf>
    <xf numFmtId="0" fontId="50" fillId="40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4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</cellStyleXfs>
  <cellXfs count="213">
    <xf numFmtId="0" fontId="0" fillId="0" borderId="0" xfId="0"/>
    <xf numFmtId="0" fontId="1" fillId="2" borderId="0" xfId="0" applyNumberFormat="1" applyFont="1" applyFill="1" applyBorder="1" applyAlignment="1">
      <alignment horizontal="left" vertical="center"/>
    </xf>
    <xf numFmtId="0" fontId="2" fillId="3" borderId="0" xfId="0" applyNumberFormat="1" applyFont="1" applyFill="1" applyBorder="1" applyAlignment="1">
      <alignment vertical="center" wrapText="1"/>
    </xf>
    <xf numFmtId="0" fontId="3" fillId="4" borderId="1" xfId="0" applyNumberFormat="1" applyFont="1" applyFill="1" applyBorder="1" applyAlignment="1">
      <alignment vertical="top"/>
    </xf>
    <xf numFmtId="0" fontId="4" fillId="0" borderId="2" xfId="0" applyNumberFormat="1" applyFont="1" applyFill="1" applyBorder="1" applyAlignment="1">
      <alignment vertical="top" wrapText="1"/>
    </xf>
    <xf numFmtId="0" fontId="0" fillId="0" borderId="2" xfId="0" applyNumberFormat="1" applyFont="1" applyFill="1" applyBorder="1"/>
    <xf numFmtId="0" fontId="3" fillId="4" borderId="2" xfId="0" applyNumberFormat="1" applyFont="1" applyFill="1" applyBorder="1"/>
    <xf numFmtId="0" fontId="4" fillId="0" borderId="3" xfId="0" applyNumberFormat="1" applyFont="1" applyFill="1" applyBorder="1" applyAlignment="1">
      <alignment wrapText="1"/>
    </xf>
    <xf numFmtId="0" fontId="5" fillId="3" borderId="4" xfId="0" applyNumberFormat="1" applyFont="1" applyFill="1" applyBorder="1" applyAlignment="1">
      <alignment vertical="top" wrapText="1"/>
    </xf>
    <xf numFmtId="0" fontId="5" fillId="3" borderId="5" xfId="0" applyNumberFormat="1" applyFont="1" applyFill="1" applyBorder="1" applyAlignment="1">
      <alignment vertical="top" wrapText="1"/>
    </xf>
    <xf numFmtId="0" fontId="5" fillId="3" borderId="6" xfId="0" applyNumberFormat="1" applyFont="1" applyFill="1" applyBorder="1" applyAlignment="1">
      <alignment vertical="top" wrapText="1"/>
    </xf>
    <xf numFmtId="0" fontId="3" fillId="4" borderId="7" xfId="0" applyNumberFormat="1" applyFont="1" applyFill="1" applyBorder="1" applyAlignment="1">
      <alignment vertical="top"/>
    </xf>
    <xf numFmtId="0" fontId="4" fillId="0" borderId="8" xfId="0" applyNumberFormat="1" applyFont="1" applyFill="1" applyBorder="1" applyAlignment="1">
      <alignment vertical="top" wrapText="1"/>
    </xf>
    <xf numFmtId="0" fontId="0" fillId="0" borderId="8" xfId="0" applyNumberFormat="1" applyFont="1" applyFill="1" applyBorder="1"/>
    <xf numFmtId="0" fontId="3" fillId="4" borderId="8" xfId="0" applyNumberFormat="1" applyFont="1" applyFill="1" applyBorder="1"/>
    <xf numFmtId="0" fontId="4" fillId="0" borderId="9" xfId="0" applyNumberFormat="1" applyFont="1" applyFill="1" applyBorder="1" applyAlignment="1">
      <alignment wrapText="1"/>
    </xf>
    <xf numFmtId="0" fontId="5" fillId="3" borderId="10" xfId="0" applyNumberFormat="1" applyFont="1" applyFill="1" applyBorder="1" applyAlignment="1">
      <alignment vertical="top" wrapText="1"/>
    </xf>
    <xf numFmtId="0" fontId="5" fillId="3" borderId="0" xfId="0" applyNumberFormat="1" applyFont="1" applyFill="1" applyBorder="1" applyAlignment="1">
      <alignment vertical="top" wrapText="1"/>
    </xf>
    <xf numFmtId="0" fontId="5" fillId="3" borderId="11" xfId="0" applyNumberFormat="1" applyFont="1" applyFill="1" applyBorder="1" applyAlignment="1">
      <alignment vertical="top" wrapText="1"/>
    </xf>
    <xf numFmtId="178" fontId="4" fillId="0" borderId="8" xfId="0" applyNumberFormat="1" applyFont="1" applyFill="1" applyBorder="1" applyAlignment="1">
      <alignment vertical="top" wrapText="1"/>
    </xf>
    <xf numFmtId="0" fontId="0" fillId="0" borderId="9" xfId="0" applyNumberFormat="1" applyFont="1" applyFill="1" applyBorder="1"/>
    <xf numFmtId="0" fontId="3" fillId="4" borderId="6" xfId="0" applyNumberFormat="1" applyFont="1" applyFill="1" applyBorder="1" applyAlignment="1">
      <alignment vertical="top"/>
    </xf>
    <xf numFmtId="0" fontId="4" fillId="0" borderId="12" xfId="0" applyNumberFormat="1" applyFont="1" applyFill="1" applyBorder="1" applyAlignment="1">
      <alignment vertical="top" wrapText="1"/>
    </xf>
    <xf numFmtId="0" fontId="0" fillId="0" borderId="12" xfId="0" applyNumberFormat="1" applyFont="1" applyFill="1" applyBorder="1"/>
    <xf numFmtId="0" fontId="0" fillId="0" borderId="4" xfId="0" applyNumberFormat="1" applyFont="1" applyFill="1" applyBorder="1"/>
    <xf numFmtId="0" fontId="5" fillId="3" borderId="3" xfId="0" applyNumberFormat="1" applyFont="1" applyFill="1" applyBorder="1" applyAlignment="1">
      <alignment vertical="top" wrapText="1"/>
    </xf>
    <xf numFmtId="0" fontId="5" fillId="3" borderId="13" xfId="0" applyNumberFormat="1" applyFont="1" applyFill="1" applyBorder="1" applyAlignment="1">
      <alignment vertical="top" wrapText="1"/>
    </xf>
    <xf numFmtId="0" fontId="5" fillId="3" borderId="1" xfId="0" applyNumberFormat="1" applyFont="1" applyFill="1" applyBorder="1" applyAlignment="1">
      <alignment vertical="top" wrapText="1"/>
    </xf>
    <xf numFmtId="0" fontId="6" fillId="5" borderId="0" xfId="0" applyNumberFormat="1" applyFont="1" applyFill="1" applyBorder="1" applyAlignment="1">
      <alignment vertical="center"/>
    </xf>
    <xf numFmtId="0" fontId="6" fillId="0" borderId="0" xfId="0" applyNumberFormat="1" applyFont="1" applyFill="1" applyBorder="1" applyAlignment="1">
      <alignment vertical="center"/>
    </xf>
    <xf numFmtId="0" fontId="7" fillId="5" borderId="8" xfId="0" applyNumberFormat="1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top" wrapText="1"/>
    </xf>
    <xf numFmtId="0" fontId="4" fillId="3" borderId="2" xfId="0" applyNumberFormat="1" applyFont="1" applyFill="1" applyBorder="1" applyAlignment="1">
      <alignment vertical="top" wrapText="1"/>
    </xf>
    <xf numFmtId="0" fontId="4" fillId="3" borderId="3" xfId="0" applyNumberFormat="1" applyFont="1" applyFill="1" applyBorder="1" applyAlignment="1">
      <alignment vertical="top" wrapText="1"/>
    </xf>
    <xf numFmtId="0" fontId="4" fillId="4" borderId="7" xfId="0" applyNumberFormat="1" applyFont="1" applyFill="1" applyBorder="1" applyAlignment="1">
      <alignment horizontal="center" vertical="top" wrapText="1"/>
    </xf>
    <xf numFmtId="0" fontId="4" fillId="4" borderId="8" xfId="0" applyNumberFormat="1" applyFont="1" applyFill="1" applyBorder="1" applyAlignment="1">
      <alignment vertical="top" wrapText="1"/>
    </xf>
    <xf numFmtId="0" fontId="4" fillId="4" borderId="9" xfId="0" applyNumberFormat="1" applyFont="1" applyFill="1" applyBorder="1" applyAlignment="1">
      <alignment vertical="top" wrapText="1"/>
    </xf>
    <xf numFmtId="0" fontId="4" fillId="3" borderId="7" xfId="0" applyNumberFormat="1" applyFont="1" applyFill="1" applyBorder="1" applyAlignment="1">
      <alignment horizontal="center" vertical="top" wrapText="1"/>
    </xf>
    <xf numFmtId="0" fontId="4" fillId="3" borderId="8" xfId="0" applyNumberFormat="1" applyFont="1" applyFill="1" applyBorder="1" applyAlignment="1">
      <alignment vertical="top" wrapText="1"/>
    </xf>
    <xf numFmtId="0" fontId="4" fillId="3" borderId="9" xfId="0" applyNumberFormat="1" applyFont="1" applyFill="1" applyBorder="1" applyAlignment="1">
      <alignment vertical="top" wrapText="1"/>
    </xf>
    <xf numFmtId="0" fontId="4" fillId="4" borderId="6" xfId="0" applyNumberFormat="1" applyFont="1" applyFill="1" applyBorder="1" applyAlignment="1">
      <alignment horizontal="center" vertical="top" wrapText="1"/>
    </xf>
    <xf numFmtId="0" fontId="4" fillId="4" borderId="12" xfId="0" applyNumberFormat="1" applyFont="1" applyFill="1" applyBorder="1" applyAlignment="1">
      <alignment vertical="top" wrapText="1"/>
    </xf>
    <xf numFmtId="0" fontId="4" fillId="4" borderId="4" xfId="0" applyNumberFormat="1" applyFont="1" applyFill="1" applyBorder="1" applyAlignment="1">
      <alignment vertical="top" wrapText="1"/>
    </xf>
    <xf numFmtId="0" fontId="8" fillId="4" borderId="0" xfId="0" applyNumberFormat="1" applyFont="1" applyFill="1" applyBorder="1" applyAlignment="1">
      <alignment wrapText="1"/>
    </xf>
    <xf numFmtId="0" fontId="6" fillId="6" borderId="0" xfId="0" applyNumberFormat="1" applyFont="1" applyFill="1" applyBorder="1" applyAlignment="1">
      <alignment vertical="center"/>
    </xf>
    <xf numFmtId="0" fontId="7" fillId="6" borderId="8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vertical="top" wrapText="1"/>
    </xf>
    <xf numFmtId="0" fontId="4" fillId="0" borderId="3" xfId="0" applyNumberFormat="1" applyFont="1" applyFill="1" applyBorder="1" applyAlignment="1">
      <alignment vertical="top" wrapText="1"/>
    </xf>
    <xf numFmtId="0" fontId="4" fillId="0" borderId="7" xfId="0" applyNumberFormat="1" applyFont="1" applyFill="1" applyBorder="1" applyAlignment="1">
      <alignment vertical="top" wrapText="1"/>
    </xf>
    <xf numFmtId="0" fontId="4" fillId="0" borderId="9" xfId="0" applyNumberFormat="1" applyFont="1" applyFill="1" applyBorder="1" applyAlignment="1">
      <alignment vertical="top" wrapText="1"/>
    </xf>
    <xf numFmtId="0" fontId="4" fillId="0" borderId="6" xfId="0" applyNumberFormat="1" applyFont="1" applyFill="1" applyBorder="1" applyAlignment="1">
      <alignment vertical="top" wrapText="1"/>
    </xf>
    <xf numFmtId="0" fontId="4" fillId="0" borderId="4" xfId="0" applyNumberFormat="1" applyFont="1" applyFill="1" applyBorder="1" applyAlignment="1">
      <alignment vertical="top" wrapText="1"/>
    </xf>
    <xf numFmtId="0" fontId="6" fillId="7" borderId="0" xfId="0" applyNumberFormat="1" applyFont="1" applyFill="1" applyBorder="1" applyAlignment="1">
      <alignment vertical="center"/>
    </xf>
    <xf numFmtId="0" fontId="7" fillId="7" borderId="8" xfId="0" applyNumberFormat="1" applyFont="1" applyFill="1" applyBorder="1" applyAlignment="1">
      <alignment horizontal="center" vertical="center" wrapText="1"/>
    </xf>
    <xf numFmtId="0" fontId="6" fillId="8" borderId="0" xfId="0" applyNumberFormat="1" applyFont="1" applyFill="1" applyBorder="1" applyAlignment="1">
      <alignment vertical="center"/>
    </xf>
    <xf numFmtId="0" fontId="7" fillId="8" borderId="8" xfId="0" applyNumberFormat="1" applyFont="1" applyFill="1" applyBorder="1" applyAlignment="1">
      <alignment horizontal="center" vertical="center" wrapText="1"/>
    </xf>
    <xf numFmtId="0" fontId="4" fillId="0" borderId="11" xfId="0" applyNumberFormat="1" applyFont="1" applyFill="1" applyBorder="1" applyAlignment="1">
      <alignment vertical="top" wrapText="1"/>
    </xf>
    <xf numFmtId="0" fontId="4" fillId="0" borderId="14" xfId="0" applyNumberFormat="1" applyFont="1" applyFill="1" applyBorder="1" applyAlignment="1">
      <alignment vertical="top" wrapText="1"/>
    </xf>
    <xf numFmtId="0" fontId="4" fillId="0" borderId="10" xfId="0" applyNumberFormat="1" applyFont="1" applyFill="1" applyBorder="1" applyAlignment="1">
      <alignment vertical="top" wrapText="1"/>
    </xf>
    <xf numFmtId="0" fontId="9" fillId="9" borderId="4" xfId="0" applyNumberFormat="1" applyFont="1" applyFill="1" applyBorder="1" applyAlignment="1">
      <alignment horizontal="center" vertical="center" wrapText="1"/>
    </xf>
    <xf numFmtId="0" fontId="9" fillId="9" borderId="5" xfId="0" applyNumberFormat="1" applyFont="1" applyFill="1" applyBorder="1" applyAlignment="1">
      <alignment horizontal="center" vertical="center" wrapText="1"/>
    </xf>
    <xf numFmtId="0" fontId="9" fillId="0" borderId="0" xfId="0" applyNumberFormat="1" applyFont="1" applyFill="1" applyBorder="1" applyAlignment="1">
      <alignment vertical="center" wrapText="1"/>
    </xf>
    <xf numFmtId="0" fontId="9" fillId="9" borderId="3" xfId="0" applyNumberFormat="1" applyFont="1" applyFill="1" applyBorder="1" applyAlignment="1">
      <alignment horizontal="center" vertical="center" wrapText="1"/>
    </xf>
    <xf numFmtId="0" fontId="9" fillId="9" borderId="13" xfId="0" applyNumberFormat="1" applyFont="1" applyFill="1" applyBorder="1" applyAlignment="1">
      <alignment horizontal="center" vertical="center" wrapText="1"/>
    </xf>
    <xf numFmtId="0" fontId="10" fillId="6" borderId="8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top" wrapText="1"/>
    </xf>
    <xf numFmtId="0" fontId="4" fillId="0" borderId="7" xfId="0" applyNumberFormat="1" applyFont="1" applyFill="1" applyBorder="1" applyAlignment="1">
      <alignment horizontal="center" vertical="top" wrapText="1"/>
    </xf>
    <xf numFmtId="0" fontId="4" fillId="0" borderId="6" xfId="0" applyNumberFormat="1" applyFont="1" applyFill="1" applyBorder="1" applyAlignment="1">
      <alignment horizontal="center" vertical="top" wrapText="1"/>
    </xf>
    <xf numFmtId="0" fontId="10" fillId="7" borderId="8" xfId="0" applyNumberFormat="1" applyFont="1" applyFill="1" applyBorder="1" applyAlignment="1">
      <alignment horizontal="center" vertical="center" wrapText="1"/>
    </xf>
    <xf numFmtId="0" fontId="4" fillId="9" borderId="4" xfId="0" applyNumberFormat="1" applyFont="1" applyFill="1" applyBorder="1" applyAlignment="1">
      <alignment horizontal="center" vertical="center" wrapText="1"/>
    </xf>
    <xf numFmtId="0" fontId="4" fillId="9" borderId="5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vertical="center" wrapText="1"/>
    </xf>
    <xf numFmtId="0" fontId="4" fillId="9" borderId="3" xfId="0" applyNumberFormat="1" applyFont="1" applyFill="1" applyBorder="1" applyAlignment="1">
      <alignment horizontal="center" vertical="center" wrapText="1"/>
    </xf>
    <xf numFmtId="0" fontId="4" fillId="9" borderId="13" xfId="0" applyNumberFormat="1" applyFont="1" applyFill="1" applyBorder="1" applyAlignment="1">
      <alignment horizontal="center" vertical="center" wrapText="1"/>
    </xf>
    <xf numFmtId="0" fontId="4" fillId="3" borderId="6" xfId="0" applyNumberFormat="1" applyFont="1" applyFill="1" applyBorder="1" applyAlignment="1">
      <alignment horizontal="center" vertical="top" wrapText="1"/>
    </xf>
    <xf numFmtId="0" fontId="4" fillId="3" borderId="12" xfId="0" applyNumberFormat="1" applyFont="1" applyFill="1" applyBorder="1" applyAlignment="1">
      <alignment vertical="top" wrapText="1"/>
    </xf>
    <xf numFmtId="0" fontId="4" fillId="3" borderId="4" xfId="0" applyNumberFormat="1" applyFont="1" applyFill="1" applyBorder="1" applyAlignment="1">
      <alignment vertical="top" wrapText="1"/>
    </xf>
    <xf numFmtId="0" fontId="9" fillId="9" borderId="4" xfId="0" applyNumberFormat="1" applyFont="1" applyFill="1" applyBorder="1" applyAlignment="1">
      <alignment vertical="center" wrapText="1"/>
    </xf>
    <xf numFmtId="0" fontId="9" fillId="9" borderId="5" xfId="0" applyNumberFormat="1" applyFont="1" applyFill="1" applyBorder="1" applyAlignment="1">
      <alignment vertical="center" wrapText="1"/>
    </xf>
    <xf numFmtId="0" fontId="9" fillId="9" borderId="3" xfId="0" applyNumberFormat="1" applyFont="1" applyFill="1" applyBorder="1" applyAlignment="1">
      <alignment vertical="center" wrapText="1"/>
    </xf>
    <xf numFmtId="0" fontId="9" fillId="9" borderId="13" xfId="0" applyNumberFormat="1" applyFont="1" applyFill="1" applyBorder="1" applyAlignment="1">
      <alignment vertical="center" wrapText="1"/>
    </xf>
    <xf numFmtId="0" fontId="0" fillId="0" borderId="0" xfId="0" applyFill="1"/>
    <xf numFmtId="0" fontId="4" fillId="9" borderId="4" xfId="0" applyNumberFormat="1" applyFont="1" applyFill="1" applyBorder="1" applyAlignment="1">
      <alignment horizontal="center" vertical="center"/>
    </xf>
    <xf numFmtId="0" fontId="4" fillId="9" borderId="5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vertical="center"/>
    </xf>
    <xf numFmtId="0" fontId="4" fillId="9" borderId="3" xfId="0" applyNumberFormat="1" applyFont="1" applyFill="1" applyBorder="1" applyAlignment="1">
      <alignment horizontal="center" vertical="center"/>
    </xf>
    <xf numFmtId="0" fontId="4" fillId="9" borderId="13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" fillId="2" borderId="0" xfId="0" applyNumberFormat="1" applyFont="1" applyFill="1" applyBorder="1" applyAlignment="1">
      <alignment horizontal="left" vertical="center" wrapText="1"/>
    </xf>
    <xf numFmtId="0" fontId="3" fillId="4" borderId="1" xfId="0" applyNumberFormat="1" applyFont="1" applyFill="1" applyBorder="1" applyAlignment="1">
      <alignment vertical="top" wrapText="1"/>
    </xf>
    <xf numFmtId="0" fontId="0" fillId="0" borderId="2" xfId="0" applyNumberFormat="1" applyFont="1" applyFill="1" applyBorder="1" applyAlignment="1">
      <alignment wrapText="1"/>
    </xf>
    <xf numFmtId="0" fontId="3" fillId="4" borderId="2" xfId="0" applyNumberFormat="1" applyFont="1" applyFill="1" applyBorder="1" applyAlignment="1">
      <alignment wrapText="1"/>
    </xf>
    <xf numFmtId="0" fontId="3" fillId="4" borderId="7" xfId="0" applyNumberFormat="1" applyFont="1" applyFill="1" applyBorder="1" applyAlignment="1">
      <alignment vertical="top" wrapText="1"/>
    </xf>
    <xf numFmtId="0" fontId="0" fillId="0" borderId="8" xfId="0" applyNumberFormat="1" applyFont="1" applyFill="1" applyBorder="1" applyAlignment="1">
      <alignment wrapText="1"/>
    </xf>
    <xf numFmtId="0" fontId="3" fillId="4" borderId="8" xfId="0" applyNumberFormat="1" applyFont="1" applyFill="1" applyBorder="1" applyAlignment="1">
      <alignment wrapText="1"/>
    </xf>
    <xf numFmtId="0" fontId="0" fillId="0" borderId="9" xfId="0" applyNumberFormat="1" applyFont="1" applyFill="1" applyBorder="1" applyAlignment="1">
      <alignment wrapText="1"/>
    </xf>
    <xf numFmtId="0" fontId="3" fillId="4" borderId="6" xfId="0" applyNumberFormat="1" applyFont="1" applyFill="1" applyBorder="1" applyAlignment="1">
      <alignment vertical="top" wrapText="1"/>
    </xf>
    <xf numFmtId="0" fontId="0" fillId="0" borderId="12" xfId="0" applyNumberFormat="1" applyFont="1" applyFill="1" applyBorder="1" applyAlignment="1">
      <alignment wrapText="1"/>
    </xf>
    <xf numFmtId="0" fontId="0" fillId="0" borderId="4" xfId="0" applyNumberFormat="1" applyFont="1" applyFill="1" applyBorder="1" applyAlignment="1">
      <alignment wrapText="1"/>
    </xf>
    <xf numFmtId="0" fontId="6" fillId="5" borderId="0" xfId="0" applyNumberFormat="1" applyFont="1" applyFill="1" applyBorder="1" applyAlignment="1">
      <alignment horizontal="left" vertical="center" wrapText="1"/>
    </xf>
    <xf numFmtId="0" fontId="6" fillId="6" borderId="0" xfId="0" applyNumberFormat="1" applyFont="1" applyFill="1" applyBorder="1" applyAlignment="1">
      <alignment horizontal="left" vertical="center" wrapText="1"/>
    </xf>
    <xf numFmtId="0" fontId="6" fillId="7" borderId="0" xfId="0" applyNumberFormat="1" applyFont="1" applyFill="1" applyBorder="1" applyAlignment="1">
      <alignment horizontal="left" vertical="center" wrapText="1"/>
    </xf>
    <xf numFmtId="0" fontId="6" fillId="8" borderId="0" xfId="0" applyNumberFormat="1" applyFont="1" applyFill="1" applyBorder="1" applyAlignment="1">
      <alignment horizontal="left" vertical="center" wrapText="1"/>
    </xf>
    <xf numFmtId="0" fontId="9" fillId="9" borderId="6" xfId="0" applyNumberFormat="1" applyFont="1" applyFill="1" applyBorder="1" applyAlignment="1">
      <alignment vertical="center" wrapText="1"/>
    </xf>
    <xf numFmtId="0" fontId="9" fillId="9" borderId="1" xfId="0" applyNumberFormat="1" applyFont="1" applyFill="1" applyBorder="1" applyAlignment="1">
      <alignment vertical="center" wrapText="1"/>
    </xf>
    <xf numFmtId="0" fontId="4" fillId="9" borderId="4" xfId="0" applyNumberFormat="1" applyFont="1" applyFill="1" applyBorder="1" applyAlignment="1">
      <alignment vertical="center" wrapText="1"/>
    </xf>
    <xf numFmtId="0" fontId="4" fillId="9" borderId="5" xfId="0" applyNumberFormat="1" applyFont="1" applyFill="1" applyBorder="1" applyAlignment="1">
      <alignment vertical="center" wrapText="1"/>
    </xf>
    <xf numFmtId="0" fontId="4" fillId="9" borderId="6" xfId="0" applyNumberFormat="1" applyFont="1" applyFill="1" applyBorder="1" applyAlignment="1">
      <alignment vertical="center" wrapText="1"/>
    </xf>
    <xf numFmtId="0" fontId="4" fillId="9" borderId="3" xfId="0" applyNumberFormat="1" applyFont="1" applyFill="1" applyBorder="1" applyAlignment="1">
      <alignment vertical="center" wrapText="1"/>
    </xf>
    <xf numFmtId="0" fontId="4" fillId="9" borderId="13" xfId="0" applyNumberFormat="1" applyFont="1" applyFill="1" applyBorder="1" applyAlignment="1">
      <alignment vertical="center" wrapText="1"/>
    </xf>
    <xf numFmtId="0" fontId="4" fillId="9" borderId="1" xfId="0" applyNumberFormat="1" applyFont="1" applyFill="1" applyBorder="1" applyAlignment="1">
      <alignment vertical="center" wrapText="1"/>
    </xf>
    <xf numFmtId="0" fontId="1" fillId="2" borderId="0" xfId="0" applyNumberFormat="1" applyFont="1" applyFill="1" applyBorder="1" applyAlignment="1">
      <alignment vertical="center"/>
    </xf>
    <xf numFmtId="0" fontId="11" fillId="0" borderId="0" xfId="0" applyNumberFormat="1" applyFont="1" applyFill="1" applyBorder="1" applyAlignment="1">
      <alignment vertical="center"/>
    </xf>
    <xf numFmtId="0" fontId="6" fillId="0" borderId="0" xfId="0" applyNumberFormat="1" applyFont="1" applyFill="1" applyBorder="1" applyAlignment="1">
      <alignment horizontal="center" vertical="center" wrapText="1"/>
    </xf>
    <xf numFmtId="0" fontId="0" fillId="0" borderId="0" xfId="0" applyFill="1" applyBorder="1"/>
    <xf numFmtId="0" fontId="9" fillId="9" borderId="0" xfId="0" applyNumberFormat="1" applyFont="1" applyFill="1" applyAlignment="1">
      <alignment horizontal="center" vertical="center" wrapText="1"/>
    </xf>
    <xf numFmtId="0" fontId="12" fillId="0" borderId="0" xfId="0" applyFont="1" applyFill="1" applyAlignment="1">
      <alignment wrapText="1"/>
    </xf>
    <xf numFmtId="0" fontId="12" fillId="0" borderId="0" xfId="0" applyFont="1" applyAlignment="1">
      <alignment wrapText="1"/>
    </xf>
    <xf numFmtId="0" fontId="13" fillId="2" borderId="0" xfId="0" applyNumberFormat="1" applyFont="1" applyFill="1" applyBorder="1" applyAlignment="1">
      <alignment horizontal="left" vertical="center" wrapText="1"/>
    </xf>
    <xf numFmtId="0" fontId="14" fillId="3" borderId="0" xfId="0" applyNumberFormat="1" applyFont="1" applyFill="1" applyBorder="1" applyAlignment="1">
      <alignment vertical="center" wrapText="1"/>
    </xf>
    <xf numFmtId="0" fontId="15" fillId="2" borderId="0" xfId="0" applyNumberFormat="1" applyFont="1" applyFill="1" applyBorder="1" applyAlignment="1">
      <alignment horizontal="left" vertical="center" wrapText="1"/>
    </xf>
    <xf numFmtId="0" fontId="16" fillId="4" borderId="1" xfId="0" applyNumberFormat="1" applyFont="1" applyFill="1" applyBorder="1" applyAlignment="1">
      <alignment vertical="top" wrapText="1"/>
    </xf>
    <xf numFmtId="0" fontId="17" fillId="0" borderId="2" xfId="0" applyNumberFormat="1" applyFont="1" applyFill="1" applyBorder="1" applyAlignment="1">
      <alignment vertical="top" wrapText="1"/>
    </xf>
    <xf numFmtId="0" fontId="12" fillId="0" borderId="2" xfId="0" applyNumberFormat="1" applyFont="1" applyFill="1" applyBorder="1" applyAlignment="1">
      <alignment wrapText="1"/>
    </xf>
    <xf numFmtId="0" fontId="16" fillId="4" borderId="2" xfId="0" applyNumberFormat="1" applyFont="1" applyFill="1" applyBorder="1" applyAlignment="1">
      <alignment vertical="top" wrapText="1"/>
    </xf>
    <xf numFmtId="0" fontId="17" fillId="0" borderId="3" xfId="0" applyNumberFormat="1" applyFont="1" applyFill="1" applyBorder="1" applyAlignment="1">
      <alignment vertical="top" wrapText="1"/>
    </xf>
    <xf numFmtId="0" fontId="16" fillId="4" borderId="7" xfId="0" applyNumberFormat="1" applyFont="1" applyFill="1" applyBorder="1" applyAlignment="1">
      <alignment vertical="top" wrapText="1"/>
    </xf>
    <xf numFmtId="0" fontId="17" fillId="0" borderId="8" xfId="0" applyNumberFormat="1" applyFont="1" applyFill="1" applyBorder="1" applyAlignment="1">
      <alignment vertical="top" wrapText="1"/>
    </xf>
    <xf numFmtId="0" fontId="12" fillId="0" borderId="8" xfId="0" applyNumberFormat="1" applyFont="1" applyFill="1" applyBorder="1" applyAlignment="1">
      <alignment wrapText="1"/>
    </xf>
    <xf numFmtId="0" fontId="16" fillId="4" borderId="8" xfId="0" applyNumberFormat="1" applyFont="1" applyFill="1" applyBorder="1" applyAlignment="1">
      <alignment vertical="top" wrapText="1"/>
    </xf>
    <xf numFmtId="0" fontId="17" fillId="0" borderId="9" xfId="0" applyNumberFormat="1" applyFont="1" applyFill="1" applyBorder="1" applyAlignment="1">
      <alignment vertical="top" wrapText="1"/>
    </xf>
    <xf numFmtId="0" fontId="17" fillId="0" borderId="12" xfId="0" applyNumberFormat="1" applyFont="1" applyFill="1" applyBorder="1" applyAlignment="1">
      <alignment vertical="top" wrapText="1"/>
    </xf>
    <xf numFmtId="0" fontId="17" fillId="0" borderId="4" xfId="0" applyNumberFormat="1" applyFont="1" applyFill="1" applyBorder="1" applyAlignment="1">
      <alignment vertical="top" wrapText="1"/>
    </xf>
    <xf numFmtId="0" fontId="17" fillId="0" borderId="5" xfId="0" applyNumberFormat="1" applyFont="1" applyFill="1" applyBorder="1" applyAlignment="1">
      <alignment vertical="top" wrapText="1"/>
    </xf>
    <xf numFmtId="0" fontId="16" fillId="4" borderId="6" xfId="0" applyNumberFormat="1" applyFont="1" applyFill="1" applyBorder="1" applyAlignment="1">
      <alignment vertical="top" wrapText="1"/>
    </xf>
    <xf numFmtId="0" fontId="12" fillId="0" borderId="12" xfId="0" applyNumberFormat="1" applyFont="1" applyFill="1" applyBorder="1" applyAlignment="1">
      <alignment wrapText="1"/>
    </xf>
    <xf numFmtId="0" fontId="16" fillId="4" borderId="12" xfId="0" applyNumberFormat="1" applyFont="1" applyFill="1" applyBorder="1" applyAlignment="1">
      <alignment vertical="top" wrapText="1"/>
    </xf>
    <xf numFmtId="0" fontId="18" fillId="3" borderId="9" xfId="0" applyNumberFormat="1" applyFont="1" applyFill="1" applyBorder="1" applyAlignment="1">
      <alignment horizontal="center" vertical="center" wrapText="1"/>
    </xf>
    <xf numFmtId="0" fontId="18" fillId="3" borderId="15" xfId="0" applyNumberFormat="1" applyFont="1" applyFill="1" applyBorder="1" applyAlignment="1">
      <alignment horizontal="center" vertical="center" wrapText="1"/>
    </xf>
    <xf numFmtId="0" fontId="18" fillId="3" borderId="7" xfId="0" applyNumberFormat="1" applyFont="1" applyFill="1" applyBorder="1" applyAlignment="1">
      <alignment horizontal="center" vertical="center" wrapText="1"/>
    </xf>
    <xf numFmtId="0" fontId="19" fillId="10" borderId="9" xfId="0" applyNumberFormat="1" applyFont="1" applyFill="1" applyBorder="1" applyAlignment="1">
      <alignment horizontal="center" vertical="center" wrapText="1"/>
    </xf>
    <xf numFmtId="0" fontId="19" fillId="10" borderId="15" xfId="0" applyNumberFormat="1" applyFont="1" applyFill="1" applyBorder="1" applyAlignment="1">
      <alignment horizontal="center" vertical="center" wrapText="1"/>
    </xf>
    <xf numFmtId="0" fontId="19" fillId="10" borderId="7" xfId="0" applyNumberFormat="1" applyFont="1" applyFill="1" applyBorder="1" applyAlignment="1">
      <alignment horizontal="center" vertical="center" wrapText="1"/>
    </xf>
    <xf numFmtId="0" fontId="20" fillId="9" borderId="9" xfId="0" applyNumberFormat="1" applyFont="1" applyFill="1" applyBorder="1" applyAlignment="1">
      <alignment horizontal="center" vertical="center" wrapText="1"/>
    </xf>
    <xf numFmtId="0" fontId="20" fillId="9" borderId="15" xfId="0" applyNumberFormat="1" applyFont="1" applyFill="1" applyBorder="1" applyAlignment="1">
      <alignment horizontal="center" vertical="center" wrapText="1"/>
    </xf>
    <xf numFmtId="0" fontId="20" fillId="9" borderId="7" xfId="0" applyNumberFormat="1" applyFont="1" applyFill="1" applyBorder="1" applyAlignment="1">
      <alignment horizontal="center" vertical="center" wrapText="1"/>
    </xf>
    <xf numFmtId="0" fontId="21" fillId="11" borderId="9" xfId="0" applyNumberFormat="1" applyFont="1" applyFill="1" applyBorder="1" applyAlignment="1">
      <alignment horizontal="center" vertical="center" wrapText="1"/>
    </xf>
    <xf numFmtId="0" fontId="21" fillId="11" borderId="15" xfId="0" applyNumberFormat="1" applyFont="1" applyFill="1" applyBorder="1" applyAlignment="1">
      <alignment horizontal="center" vertical="center" wrapText="1"/>
    </xf>
    <xf numFmtId="0" fontId="21" fillId="11" borderId="7" xfId="0" applyNumberFormat="1" applyFont="1" applyFill="1" applyBorder="1" applyAlignment="1">
      <alignment horizontal="center" vertical="center" wrapText="1"/>
    </xf>
    <xf numFmtId="0" fontId="22" fillId="12" borderId="9" xfId="0" applyNumberFormat="1" applyFont="1" applyFill="1" applyBorder="1" applyAlignment="1">
      <alignment horizontal="center" vertical="center" wrapText="1"/>
    </xf>
    <xf numFmtId="0" fontId="22" fillId="12" borderId="15" xfId="0" applyNumberFormat="1" applyFont="1" applyFill="1" applyBorder="1" applyAlignment="1">
      <alignment horizontal="center" vertical="center" wrapText="1"/>
    </xf>
    <xf numFmtId="0" fontId="22" fillId="12" borderId="7" xfId="0" applyNumberFormat="1" applyFont="1" applyFill="1" applyBorder="1" applyAlignment="1">
      <alignment horizontal="center" vertical="center" wrapText="1"/>
    </xf>
    <xf numFmtId="0" fontId="23" fillId="3" borderId="9" xfId="0" applyNumberFormat="1" applyFont="1" applyFill="1" applyBorder="1" applyAlignment="1">
      <alignment horizontal="center" vertical="center" wrapText="1"/>
    </xf>
    <xf numFmtId="0" fontId="23" fillId="3" borderId="15" xfId="0" applyNumberFormat="1" applyFont="1" applyFill="1" applyBorder="1" applyAlignment="1">
      <alignment horizontal="center" vertical="center" wrapText="1"/>
    </xf>
    <xf numFmtId="0" fontId="23" fillId="3" borderId="7" xfId="0" applyNumberFormat="1" applyFont="1" applyFill="1" applyBorder="1" applyAlignment="1">
      <alignment horizontal="center" vertical="center" wrapText="1"/>
    </xf>
    <xf numFmtId="0" fontId="24" fillId="10" borderId="9" xfId="0" applyNumberFormat="1" applyFont="1" applyFill="1" applyBorder="1" applyAlignment="1">
      <alignment horizontal="center" vertical="center" wrapText="1"/>
    </xf>
    <xf numFmtId="0" fontId="24" fillId="10" borderId="15" xfId="0" applyNumberFormat="1" applyFont="1" applyFill="1" applyBorder="1" applyAlignment="1">
      <alignment horizontal="center" vertical="center" wrapText="1"/>
    </xf>
    <xf numFmtId="0" fontId="24" fillId="10" borderId="7" xfId="0" applyNumberFormat="1" applyFont="1" applyFill="1" applyBorder="1" applyAlignment="1">
      <alignment horizontal="center" vertical="center" wrapText="1"/>
    </xf>
    <xf numFmtId="0" fontId="25" fillId="9" borderId="9" xfId="0" applyNumberFormat="1" applyFont="1" applyFill="1" applyBorder="1" applyAlignment="1">
      <alignment horizontal="center" vertical="center" wrapText="1"/>
    </xf>
    <xf numFmtId="0" fontId="25" fillId="9" borderId="15" xfId="0" applyNumberFormat="1" applyFont="1" applyFill="1" applyBorder="1" applyAlignment="1">
      <alignment horizontal="center" vertical="center" wrapText="1"/>
    </xf>
    <xf numFmtId="0" fontId="25" fillId="9" borderId="7" xfId="0" applyNumberFormat="1" applyFont="1" applyFill="1" applyBorder="1" applyAlignment="1">
      <alignment horizontal="center" vertical="center" wrapText="1"/>
    </xf>
    <xf numFmtId="0" fontId="26" fillId="11" borderId="9" xfId="0" applyNumberFormat="1" applyFont="1" applyFill="1" applyBorder="1" applyAlignment="1">
      <alignment horizontal="center" vertical="center" wrapText="1"/>
    </xf>
    <xf numFmtId="0" fontId="26" fillId="11" borderId="15" xfId="0" applyNumberFormat="1" applyFont="1" applyFill="1" applyBorder="1" applyAlignment="1">
      <alignment horizontal="center" vertical="center" wrapText="1"/>
    </xf>
    <xf numFmtId="0" fontId="26" fillId="11" borderId="7" xfId="0" applyNumberFormat="1" applyFont="1" applyFill="1" applyBorder="1" applyAlignment="1">
      <alignment horizontal="center" vertical="center" wrapText="1"/>
    </xf>
    <xf numFmtId="0" fontId="27" fillId="12" borderId="9" xfId="0" applyNumberFormat="1" applyFont="1" applyFill="1" applyBorder="1" applyAlignment="1">
      <alignment horizontal="center" vertical="center" wrapText="1"/>
    </xf>
    <xf numFmtId="0" fontId="27" fillId="12" borderId="15" xfId="0" applyNumberFormat="1" applyFont="1" applyFill="1" applyBorder="1" applyAlignment="1">
      <alignment horizontal="center" vertical="center" wrapText="1"/>
    </xf>
    <xf numFmtId="0" fontId="27" fillId="12" borderId="7" xfId="0" applyNumberFormat="1" applyFont="1" applyFill="1" applyBorder="1" applyAlignment="1">
      <alignment horizontal="center" vertical="center" wrapText="1"/>
    </xf>
    <xf numFmtId="0" fontId="15" fillId="6" borderId="0" xfId="0" applyNumberFormat="1" applyFont="1" applyFill="1" applyBorder="1" applyAlignment="1">
      <alignment horizontal="left" vertical="center" wrapText="1"/>
    </xf>
    <xf numFmtId="0" fontId="28" fillId="0" borderId="0" xfId="0" applyNumberFormat="1" applyFont="1" applyFill="1" applyBorder="1" applyAlignment="1">
      <alignment horizontal="center" vertical="center" wrapText="1"/>
    </xf>
    <xf numFmtId="0" fontId="28" fillId="6" borderId="16" xfId="0" applyNumberFormat="1" applyFont="1" applyFill="1" applyBorder="1" applyAlignment="1">
      <alignment horizontal="center" vertical="center" wrapText="1"/>
    </xf>
    <xf numFmtId="0" fontId="28" fillId="6" borderId="17" xfId="0" applyNumberFormat="1" applyFont="1" applyFill="1" applyBorder="1" applyAlignment="1">
      <alignment horizontal="center" vertical="center" wrapText="1"/>
    </xf>
    <xf numFmtId="0" fontId="28" fillId="6" borderId="18" xfId="0" applyNumberFormat="1" applyFont="1" applyFill="1" applyBorder="1" applyAlignment="1">
      <alignment horizontal="center" vertical="center" wrapText="1"/>
    </xf>
    <xf numFmtId="0" fontId="17" fillId="0" borderId="19" xfId="0" applyNumberFormat="1" applyFont="1" applyFill="1" applyBorder="1" applyAlignment="1">
      <alignment vertical="top" wrapText="1"/>
    </xf>
    <xf numFmtId="0" fontId="17" fillId="0" borderId="2" xfId="0" applyNumberFormat="1" applyFont="1" applyFill="1" applyBorder="1" applyAlignment="1">
      <alignment horizontal="center" vertical="top" wrapText="1"/>
    </xf>
    <xf numFmtId="0" fontId="17" fillId="0" borderId="20" xfId="0" applyNumberFormat="1" applyFont="1" applyFill="1" applyBorder="1" applyAlignment="1">
      <alignment vertical="top" wrapText="1"/>
    </xf>
    <xf numFmtId="0" fontId="17" fillId="0" borderId="21" xfId="0" applyNumberFormat="1" applyFont="1" applyFill="1" applyBorder="1" applyAlignment="1">
      <alignment vertical="top" wrapText="1"/>
    </xf>
    <xf numFmtId="0" fontId="17" fillId="0" borderId="8" xfId="0" applyNumberFormat="1" applyFont="1" applyFill="1" applyBorder="1" applyAlignment="1">
      <alignment horizontal="center" vertical="top" wrapText="1"/>
    </xf>
    <xf numFmtId="0" fontId="17" fillId="0" borderId="22" xfId="0" applyNumberFormat="1" applyFont="1" applyFill="1" applyBorder="1" applyAlignment="1">
      <alignment vertical="top" wrapText="1"/>
    </xf>
    <xf numFmtId="0" fontId="17" fillId="0" borderId="23" xfId="0" applyNumberFormat="1" applyFont="1" applyFill="1" applyBorder="1" applyAlignment="1">
      <alignment vertical="top" wrapText="1"/>
    </xf>
    <xf numFmtId="0" fontId="17" fillId="0" borderId="24" xfId="0" applyNumberFormat="1" applyFont="1" applyFill="1" applyBorder="1" applyAlignment="1">
      <alignment vertical="top" wrapText="1"/>
    </xf>
    <xf numFmtId="0" fontId="17" fillId="0" borderId="24" xfId="0" applyNumberFormat="1" applyFont="1" applyFill="1" applyBorder="1" applyAlignment="1">
      <alignment horizontal="center" vertical="top" wrapText="1"/>
    </xf>
    <xf numFmtId="0" fontId="17" fillId="0" borderId="25" xfId="0" applyNumberFormat="1" applyFont="1" applyFill="1" applyBorder="1" applyAlignment="1">
      <alignment vertical="top" wrapText="1"/>
    </xf>
    <xf numFmtId="0" fontId="15" fillId="8" borderId="0" xfId="0" applyNumberFormat="1" applyFont="1" applyFill="1" applyBorder="1" applyAlignment="1">
      <alignment horizontal="left" vertical="center" wrapText="1"/>
    </xf>
    <xf numFmtId="0" fontId="28" fillId="8" borderId="26" xfId="0" applyNumberFormat="1" applyFont="1" applyFill="1" applyBorder="1" applyAlignment="1">
      <alignment horizontal="center" vertical="center" wrapText="1"/>
    </xf>
    <xf numFmtId="0" fontId="28" fillId="8" borderId="27" xfId="0" applyNumberFormat="1" applyFont="1" applyFill="1" applyBorder="1" applyAlignment="1">
      <alignment horizontal="center" vertical="center" wrapText="1"/>
    </xf>
    <xf numFmtId="0" fontId="28" fillId="8" borderId="28" xfId="0" applyNumberFormat="1" applyFont="1" applyFill="1" applyBorder="1" applyAlignment="1">
      <alignment horizontal="center" vertical="center" wrapText="1"/>
    </xf>
    <xf numFmtId="0" fontId="17" fillId="0" borderId="29" xfId="0" applyNumberFormat="1" applyFont="1" applyFill="1" applyBorder="1" applyAlignment="1">
      <alignment horizontal="center" vertical="top" wrapText="1"/>
    </xf>
    <xf numFmtId="0" fontId="17" fillId="0" borderId="30" xfId="0" applyNumberFormat="1" applyFont="1" applyFill="1" applyBorder="1" applyAlignment="1">
      <alignment vertical="top" wrapText="1"/>
    </xf>
    <xf numFmtId="0" fontId="17" fillId="0" borderId="31" xfId="0" applyNumberFormat="1" applyFont="1" applyFill="1" applyBorder="1" applyAlignment="1">
      <alignment horizontal="center" vertical="top" wrapText="1"/>
    </xf>
    <xf numFmtId="0" fontId="17" fillId="0" borderId="32" xfId="0" applyNumberFormat="1" applyFont="1" applyFill="1" applyBorder="1" applyAlignment="1">
      <alignment vertical="top" wrapText="1"/>
    </xf>
    <xf numFmtId="0" fontId="29" fillId="5" borderId="8" xfId="0" applyNumberFormat="1" applyFont="1" applyFill="1" applyBorder="1" applyAlignment="1">
      <alignment wrapText="1"/>
    </xf>
    <xf numFmtId="0" fontId="30" fillId="4" borderId="8" xfId="0" applyNumberFormat="1" applyFont="1" applyFill="1" applyBorder="1" applyAlignment="1">
      <alignment wrapText="1"/>
    </xf>
    <xf numFmtId="0" fontId="15" fillId="0" borderId="0" xfId="0" applyNumberFormat="1" applyFont="1" applyFill="1" applyBorder="1" applyAlignment="1">
      <alignment horizontal="left" vertical="center" wrapText="1"/>
    </xf>
    <xf numFmtId="0" fontId="15" fillId="0" borderId="0" xfId="0" applyNumberFormat="1" applyFont="1" applyFill="1" applyAlignment="1">
      <alignment horizontal="left" vertical="center" wrapText="1"/>
    </xf>
    <xf numFmtId="0" fontId="30" fillId="0" borderId="8" xfId="0" applyNumberFormat="1" applyFont="1" applyFill="1" applyBorder="1" applyAlignment="1">
      <alignment wrapText="1"/>
    </xf>
    <xf numFmtId="0" fontId="15" fillId="5" borderId="1" xfId="0" applyNumberFormat="1" applyFont="1" applyFill="1" applyBorder="1" applyAlignment="1">
      <alignment horizontal="left" vertical="center" wrapText="1"/>
    </xf>
    <xf numFmtId="0" fontId="15" fillId="5" borderId="2" xfId="0" applyNumberFormat="1" applyFont="1" applyFill="1" applyBorder="1" applyAlignment="1">
      <alignment horizontal="left" vertical="center" wrapText="1"/>
    </xf>
    <xf numFmtId="0" fontId="15" fillId="5" borderId="3" xfId="0" applyNumberFormat="1" applyFont="1" applyFill="1" applyBorder="1" applyAlignment="1">
      <alignment horizontal="left" vertical="center" wrapText="1"/>
    </xf>
    <xf numFmtId="0" fontId="15" fillId="5" borderId="0" xfId="0" applyNumberFormat="1" applyFont="1" applyFill="1" applyBorder="1" applyAlignment="1">
      <alignment horizontal="left" vertical="center" wrapText="1"/>
    </xf>
    <xf numFmtId="0" fontId="28" fillId="0" borderId="7" xfId="0" applyNumberFormat="1" applyFont="1" applyFill="1" applyBorder="1" applyAlignment="1">
      <alignment horizontal="center" vertical="center" wrapText="1"/>
    </xf>
    <xf numFmtId="0" fontId="28" fillId="0" borderId="8" xfId="0" applyNumberFormat="1" applyFont="1" applyFill="1" applyBorder="1" applyAlignment="1">
      <alignment horizontal="center" vertical="center" wrapText="1"/>
    </xf>
    <xf numFmtId="0" fontId="28" fillId="0" borderId="9" xfId="0" applyNumberFormat="1" applyFont="1" applyFill="1" applyBorder="1" applyAlignment="1">
      <alignment horizontal="center" vertical="center" wrapText="1"/>
    </xf>
    <xf numFmtId="0" fontId="28" fillId="5" borderId="8" xfId="0" applyNumberFormat="1" applyFont="1" applyFill="1" applyBorder="1" applyAlignment="1">
      <alignment horizontal="center" vertical="center" wrapText="1"/>
    </xf>
    <xf numFmtId="0" fontId="17" fillId="0" borderId="7" xfId="0" applyNumberFormat="1" applyFont="1" applyFill="1" applyBorder="1" applyAlignment="1">
      <alignment horizontal="center" vertical="top" wrapText="1"/>
    </xf>
    <xf numFmtId="178" fontId="17" fillId="0" borderId="8" xfId="0" applyNumberFormat="1" applyFont="1" applyFill="1" applyBorder="1" applyAlignment="1">
      <alignment horizontal="center" vertical="top" wrapText="1"/>
    </xf>
    <xf numFmtId="0" fontId="17" fillId="0" borderId="6" xfId="0" applyNumberFormat="1" applyFont="1" applyFill="1" applyBorder="1" applyAlignment="1">
      <alignment horizontal="center" vertical="top" wrapText="1"/>
    </xf>
    <xf numFmtId="0" fontId="17" fillId="0" borderId="12" xfId="0" applyNumberFormat="1" applyFont="1" applyFill="1" applyBorder="1" applyAlignment="1">
      <alignment horizontal="center" vertical="top" wrapText="1"/>
    </xf>
    <xf numFmtId="178" fontId="17" fillId="0" borderId="12" xfId="0" applyNumberFormat="1" applyFont="1" applyFill="1" applyBorder="1" applyAlignment="1">
      <alignment horizontal="center" vertical="top" wrapText="1"/>
    </xf>
    <xf numFmtId="0" fontId="15" fillId="13" borderId="0" xfId="0" applyNumberFormat="1" applyFont="1" applyFill="1" applyBorder="1" applyAlignment="1">
      <alignment horizontal="left" vertical="center" wrapText="1"/>
    </xf>
    <xf numFmtId="0" fontId="28" fillId="13" borderId="8" xfId="0" applyNumberFormat="1" applyFont="1" applyFill="1" applyBorder="1" applyAlignment="1">
      <alignment horizontal="center" vertical="center" wrapText="1"/>
    </xf>
    <xf numFmtId="0" fontId="17" fillId="0" borderId="1" xfId="0" applyNumberFormat="1" applyFont="1" applyFill="1" applyBorder="1" applyAlignment="1">
      <alignment horizontal="center" vertical="top" wrapText="1"/>
    </xf>
    <xf numFmtId="0" fontId="15" fillId="14" borderId="0" xfId="0" applyNumberFormat="1" applyFont="1" applyFill="1" applyBorder="1" applyAlignment="1">
      <alignment horizontal="left" vertical="center" wrapText="1"/>
    </xf>
    <xf numFmtId="0" fontId="28" fillId="14" borderId="8" xfId="0" applyNumberFormat="1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2">
    <dxf>
      <font>
        <b val="1"/>
        <color rgb="FF15803D"/>
      </font>
      <fill>
        <patternFill patternType="solid">
          <bgColor rgb="FFE6F6F2"/>
        </patternFill>
      </fill>
    </dxf>
    <dxf>
      <font>
        <b val="1"/>
        <color rgb="FFB45309"/>
      </font>
      <fill>
        <patternFill patternType="solid">
          <bgColor rgb="FFFFF4DB"/>
        </patternFill>
      </fill>
    </dxf>
    <dxf>
      <font>
        <b val="1"/>
        <color rgb="FF1F6AA5"/>
      </font>
      <fill>
        <patternFill patternType="solid">
          <bgColor rgb="FFEAF3FB"/>
        </patternFill>
      </fill>
    </dxf>
    <dxf>
      <font>
        <b val="1"/>
        <color rgb="FF6D28D9"/>
      </font>
      <fill>
        <patternFill patternType="solid">
          <bgColor rgb="FFF1EAFE"/>
        </patternFill>
      </fill>
    </dxf>
    <dxf>
      <font>
        <b val="1"/>
        <color rgb="FFB91C1C"/>
      </font>
      <fill>
        <patternFill patternType="solid">
          <bgColor rgb="FFFDECE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  <tableStyle name="PivotStylePreset2_Accent1" table="0" count="10" xr9:uid="{267968C8-6FFD-4C36-ACC1-9EA1FD1885CA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Workflow status distribution</a:t>
            </a:r>
          </a:p>
        </c:rich>
      </c:tx>
      <c:layout/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"Count"</c:f>
              <c:strCache>
                <c:ptCount val="1"/>
                <c:pt idx="0">
                  <c:v>Count</c:v>
                </c:pt>
              </c:strCache>
            </c:strRef>
          </c:tx>
          <c:explosion val="0"/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Pt>
            <c:idx val="5"/>
            <c:bubble3D val="0"/>
          </c:dPt>
          <c:dPt>
            <c:idx val="6"/>
            <c:bubble3D val="0"/>
          </c:dPt>
          <c:dLbls>
            <c:delete val="1"/>
          </c:dLbls>
          <c:cat>
            <c:strRef>
              <c:f>Master!$V$38:$V$44</c:f>
              <c:strCache>
                <c:ptCount val="7"/>
                <c:pt idx="0">
                  <c:v>Core complete / stabilize</c:v>
                </c:pt>
                <c:pt idx="1">
                  <c:v>Core complete / optimize</c:v>
                </c:pt>
                <c:pt idx="2">
                  <c:v>Pending</c:v>
                </c:pt>
                <c:pt idx="3">
                  <c:v>Planned</c:v>
                </c:pt>
                <c:pt idx="4">
                  <c:v>Deferred</c:v>
                </c:pt>
                <c:pt idx="6">
                  <c:v>Dropped</c:v>
                </c:pt>
              </c:strCache>
            </c:strRef>
          </c:cat>
          <c:val>
            <c:numRef>
              <c:f>Master!$W$38:$W$44</c:f>
              <c:numCache>
                <c:formatCode>General</c:formatCode>
                <c:ptCount val="7"/>
                <c:pt idx="0">
                  <c:v>2</c:v>
                </c:pt>
                <c:pt idx="1">
                  <c:v>1</c:v>
                </c:pt>
                <c:pt idx="2">
                  <c:v>8</c:v>
                </c:pt>
                <c:pt idx="3">
                  <c:v>1</c:v>
                </c:pt>
                <c:pt idx="4">
                  <c:v>1</c:v>
                </c:pt>
                <c:pt idx="6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1"/>
      </c:doughnutChart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970f948-b78d-479e-b2fd-27a71cdd356f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Workflow count by content type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ndard"/>
        <c:varyColors val="0"/>
        <c:ser>
          <c:idx val="0"/>
          <c:order val="0"/>
          <c:tx>
            <c:strRef>
              <c:f>"Count"</c:f>
              <c:strCache>
                <c:ptCount val="1"/>
                <c:pt idx="0">
                  <c:v>Count</c:v>
                </c:pt>
              </c:strCache>
            </c:strRef>
          </c:tx>
          <c:invertIfNegative val="0"/>
          <c:dLbls>
            <c:delete val="1"/>
          </c:dLbls>
          <c:cat>
            <c:strRef>
              <c:f>Master!$V$49:$V$62</c:f>
              <c:strCache>
                <c:ptCount val="14"/>
                <c:pt idx="0">
                  <c:v>Video — AI UGC</c:v>
                </c:pt>
                <c:pt idx="1">
                  <c:v>Video — AI clone</c:v>
                </c:pt>
                <c:pt idx="2">
                  <c:v>Video — AI commercial</c:v>
                </c:pt>
                <c:pt idx="3">
                  <c:v>Video — AI timelapse</c:v>
                </c:pt>
                <c:pt idx="4">
                  <c:v>Graphic — AI creative/clone</c:v>
                </c:pt>
                <c:pt idx="5">
                  <c:v>Graphic — HTML carousel</c:v>
                </c:pt>
                <c:pt idx="6">
                  <c:v>Video — human/talking-head</c:v>
                </c:pt>
                <c:pt idx="7">
                  <c:v>Graphic — image carousel</c:v>
                </c:pt>
                <c:pt idx="8">
                  <c:v>Graphic — HTML news summary</c:v>
                </c:pt>
                <c:pt idx="9">
                  <c:v>Graphic/video — motion graphic</c:v>
                </c:pt>
                <c:pt idx="10">
                  <c:v>Graphic — single static</c:v>
                </c:pt>
                <c:pt idx="11">
                  <c:v>Graphic — split 4 image</c:v>
                </c:pt>
                <c:pt idx="12">
                  <c:v>Video — edit/source mixing</c:v>
                </c:pt>
                <c:pt idx="13">
                  <c:v>Video — HTML motion</c:v>
                </c:pt>
              </c:strCache>
            </c:strRef>
          </c:cat>
          <c:val>
            <c:numRef>
              <c:f>Master!$W$49:$W$62</c:f>
              <c:numCache>
                <c:formatCode>General</c:formatCode>
                <c:ptCount val="14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d323e1d-06c9-46a8-bd00-8dce26d5c22b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21</xdr:col>
      <xdr:colOff>0</xdr:colOff>
      <xdr:row>1</xdr:row>
      <xdr:rowOff>0</xdr:rowOff>
    </xdr:from>
    <xdr:to>
      <xdr:col>30</xdr:col>
      <xdr:colOff>0</xdr:colOff>
      <xdr:row>16</xdr:row>
      <xdr:rowOff>0</xdr:rowOff>
    </xdr:to>
    <xdr:graphicFrame>
      <xdr:nvGraphicFramePr>
        <xdr:cNvPr id="2" name="Chart"/>
        <xdr:cNvGraphicFramePr/>
      </xdr:nvGraphicFramePr>
      <xdr:xfrm>
        <a:off x="41586785" y="294640"/>
        <a:ext cx="8895080" cy="4886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17</xdr:row>
      <xdr:rowOff>0</xdr:rowOff>
    </xdr:from>
    <xdr:to>
      <xdr:col>30</xdr:col>
      <xdr:colOff>0</xdr:colOff>
      <xdr:row>36</xdr:row>
      <xdr:rowOff>0</xdr:rowOff>
    </xdr:to>
    <xdr:graphicFrame>
      <xdr:nvGraphicFramePr>
        <xdr:cNvPr id="3" name="Chart"/>
        <xdr:cNvGraphicFramePr/>
      </xdr:nvGraphicFramePr>
      <xdr:xfrm>
        <a:off x="41586785" y="5394960"/>
        <a:ext cx="8895080" cy="58324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13335</xdr:colOff>
      <xdr:row>16</xdr:row>
      <xdr:rowOff>160020</xdr:rowOff>
    </xdr:from>
    <xdr:ext cx="5646420" cy="9757410"/>
    <xdr:pic>
      <xdr:nvPicPr>
        <xdr:cNvPr id="2" name="/xl/media/image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557885" y="4706620"/>
          <a:ext cx="5646420" cy="975741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10</xdr:col>
      <xdr:colOff>943610</xdr:colOff>
      <xdr:row>5</xdr:row>
      <xdr:rowOff>75565</xdr:rowOff>
    </xdr:from>
    <xdr:ext cx="4572000" cy="6363970"/>
    <xdr:pic>
      <xdr:nvPicPr>
        <xdr:cNvPr id="2" name="/xl/media/image2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33770" y="1223645"/>
          <a:ext cx="4572000" cy="636397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WorkflowMasterTable" displayName="WorkflowMasterTable" ref="A46:T60" totalsRowShown="0">
  <tableColumns count="20">
    <tableColumn id="1" name="STT"/>
    <tableColumn id="2" name="Tên workflow"/>
    <tableColumn id="3" name="Goal file"/>
    <tableColumn id="4" name="Dạng nội dung tạo ra"/>
    <tableColumn id="5" name="Status"/>
    <tableColumn id="6" name="Handoff scope"/>
    <tableColumn id="7" name="Priority"/>
    <tableColumn id="8" name="Ảnh demo"/>
    <tableColumn id="9" name="Repo file URL"/>
    <tableColumn id="10" name="Ngày khởi tạo"/>
    <tableColumn id="11" name="Ngày hoàn thành"/>
    <tableColumn id="12" name="Detail sheet"/>
    <tableColumn id="13" name="Owner/role"/>
    <tableColumn id="14" name="Skill chính"/>
    <tableColumn id="15" name="Toolset chính"/>
    <tableColumn id="16" name="Blocker"/>
    <tableColumn id="17" name="Next milestone"/>
    <tableColumn id="18" name="Human QA"/>
    <tableColumn id="19" name="Feasibility"/>
    <tableColumn id="20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killInventoryTable" displayName="SkillInventoryTable" ref="A64:H97" totalsRowShown="0">
  <tableColumns count="8">
    <tableColumn id="1" name="STT"/>
    <tableColumn id="2" name="Tên skill"/>
    <tableColumn id="3" name="Chức năng"/>
    <tableColumn id="4" name="Repo URL/path"/>
    <tableColumn id="5" name="Toolset dùng"/>
    <tableColumn id="6" name="Role/scope"/>
    <tableColumn id="7" name="Availability"/>
    <tableColumn id="8" name="Workflow sử dụ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oolsetMasterTable" displayName="ToolsetMasterTable" ref="A101:I116" totalsRowShown="0">
  <tableColumns count="9">
    <tableColumn id="1" name="STT"/>
    <tableColumn id="2" name="Tool"/>
    <tableColumn id="3" name="Category"/>
    <tableColumn id="4" name="Chức năng"/>
    <tableColumn id="5" name="Required/optional"/>
    <tableColumn id="6" name="Availability"/>
    <tableColumn id="7" name="Install/setup"/>
    <tableColumn id="8" name="Workflow sử dụng"/>
    <tableColumn id="9" name="Source/doc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table" Target="../tables/table3.xml"/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16"/>
  <sheetViews>
    <sheetView showGridLines="0" tabSelected="1" topLeftCell="A8" workbookViewId="0">
      <selection activeCell="E25" sqref="E25"/>
    </sheetView>
  </sheetViews>
  <sheetFormatPr defaultColWidth="9" defaultRowHeight="16.8"/>
  <cols>
    <col min="1" max="1" width="12.6176470588235" style="117" customWidth="1"/>
    <col min="2" max="2" width="29.4044117647059" style="117" customWidth="1"/>
    <col min="3" max="3" width="36" style="117" customWidth="1"/>
    <col min="4" max="4" width="24" style="117" customWidth="1"/>
    <col min="5" max="5" width="21" style="117" customWidth="1"/>
    <col min="6" max="6" width="17" style="117" customWidth="1"/>
    <col min="7" max="7" width="23.5294117647059" style="117" customWidth="1"/>
    <col min="8" max="8" width="15" style="117" customWidth="1"/>
    <col min="9" max="9" width="18" style="117" customWidth="1"/>
    <col min="10" max="11" width="13" style="117" customWidth="1"/>
    <col min="12" max="12" width="16" style="117" customWidth="1"/>
    <col min="13" max="13" width="25" style="117" customWidth="1"/>
    <col min="14" max="14" width="33" style="117" customWidth="1"/>
    <col min="15" max="15" width="30" style="117" customWidth="1"/>
    <col min="16" max="16" width="35" style="117" customWidth="1"/>
    <col min="17" max="17" width="28" style="117" customWidth="1"/>
    <col min="18" max="18" width="25" style="117" customWidth="1"/>
    <col min="19" max="19" width="24" style="117" customWidth="1"/>
    <col min="20" max="20" width="34" style="117" customWidth="1"/>
    <col min="21" max="21" width="9" style="117"/>
    <col min="22" max="22" width="28" style="117" customWidth="1"/>
    <col min="23" max="23" width="12" style="117" customWidth="1"/>
    <col min="24" max="16384" width="9" style="117"/>
  </cols>
  <sheetData>
    <row r="1" ht="23.2" spans="1:20">
      <c r="A1" s="118" t="s">
        <v>0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</row>
    <row r="2" spans="1:20">
      <c r="A2" s="119" t="s">
        <v>1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</row>
    <row r="4" ht="17.6" spans="1:20">
      <c r="A4" s="120" t="s">
        <v>2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</row>
    <row r="5" ht="28" spans="1:20">
      <c r="A5" s="121" t="s">
        <v>3</v>
      </c>
      <c r="B5" s="122" t="s">
        <v>4</v>
      </c>
      <c r="C5" s="123"/>
      <c r="D5" s="124" t="s">
        <v>5</v>
      </c>
      <c r="E5" s="125" t="str">
        <f>HYPERLINK("","Mở repository")</f>
        <v>Mở repository</v>
      </c>
    </row>
    <row r="6" ht="55" spans="1:20">
      <c r="A6" s="126" t="s">
        <v>6</v>
      </c>
      <c r="B6" s="127" t="s">
        <v>7</v>
      </c>
      <c r="C6" s="128"/>
      <c r="D6" s="129" t="s">
        <v>8</v>
      </c>
      <c r="E6" s="130" t="s">
        <v>9</v>
      </c>
    </row>
    <row r="7" ht="41" spans="1:20">
      <c r="A7" s="126" t="s">
        <v>10</v>
      </c>
      <c r="B7" s="127" t="s">
        <v>11</v>
      </c>
      <c r="C7" s="128"/>
      <c r="D7" s="129" t="s">
        <v>12</v>
      </c>
      <c r="E7" s="130" t="s">
        <v>13</v>
      </c>
    </row>
    <row r="8" ht="41" spans="1:20">
      <c r="A8" s="126" t="s">
        <v>14</v>
      </c>
      <c r="B8" s="131" t="s">
        <v>15</v>
      </c>
      <c r="C8" s="131"/>
      <c r="D8" s="131" t="s">
        <v>16</v>
      </c>
      <c r="E8" s="132" t="s">
        <v>17</v>
      </c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</row>
    <row r="9" ht="41" spans="1:20">
      <c r="A9" s="126" t="s">
        <v>18</v>
      </c>
      <c r="B9" s="131" t="s">
        <v>19</v>
      </c>
      <c r="C9" s="131"/>
      <c r="D9" s="131" t="s">
        <v>20</v>
      </c>
      <c r="E9" s="132" t="s">
        <v>21</v>
      </c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</row>
    <row r="10" spans="1:20">
      <c r="A10" s="126" t="s">
        <v>22</v>
      </c>
      <c r="B10" s="127" t="s">
        <v>23</v>
      </c>
      <c r="C10" s="128"/>
      <c r="D10" s="129" t="s">
        <v>24</v>
      </c>
      <c r="E10" s="130" t="s">
        <v>25</v>
      </c>
    </row>
    <row r="11" spans="1:20">
      <c r="A11" s="134" t="s">
        <v>26</v>
      </c>
      <c r="B11" s="131" t="s">
        <v>27</v>
      </c>
      <c r="C11" s="135"/>
      <c r="D11" s="136" t="s">
        <v>28</v>
      </c>
      <c r="E11" s="132" t="s">
        <v>29</v>
      </c>
    </row>
    <row r="13" ht="17.6" spans="1:20">
      <c r="A13" s="120" t="s">
        <v>30</v>
      </c>
      <c r="B13" s="120"/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</row>
    <row r="14" spans="1:20">
      <c r="A14" s="137" t="s">
        <v>31</v>
      </c>
      <c r="B14" s="138"/>
      <c r="C14" s="139"/>
      <c r="D14" s="140" t="s">
        <v>32</v>
      </c>
      <c r="E14" s="141"/>
      <c r="F14" s="142"/>
      <c r="G14" s="143" t="s">
        <v>33</v>
      </c>
      <c r="H14" s="144"/>
      <c r="I14" s="145"/>
      <c r="J14" s="143" t="s">
        <v>34</v>
      </c>
      <c r="K14" s="144"/>
      <c r="L14" s="145"/>
      <c r="M14" s="146" t="s">
        <v>12</v>
      </c>
      <c r="N14" s="147"/>
      <c r="O14" s="148"/>
      <c r="P14" s="149" t="s">
        <v>16</v>
      </c>
      <c r="Q14" s="150"/>
      <c r="R14" s="151"/>
      <c r="S14" s="140" t="s">
        <v>35</v>
      </c>
      <c r="T14" s="142"/>
    </row>
    <row r="15" ht="26" spans="1:20">
      <c r="A15" s="152">
        <f>COUNTA($B$47:$B$60)</f>
        <v>14</v>
      </c>
      <c r="B15" s="153"/>
      <c r="C15" s="154"/>
      <c r="D15" s="155">
        <f>COUNTIF($E$47:$E$60,"Core complete / stabilize")+COUNTIF($E$47:$E$60,"Core complete / optimize")</f>
        <v>3</v>
      </c>
      <c r="E15" s="156"/>
      <c r="F15" s="157"/>
      <c r="G15" s="158">
        <f>COUNTIF($E$47:$E$60,"Core complete / stabilize")+COUNTIF($E$47:$E$60,"Core complete / optimize")</f>
        <v>3</v>
      </c>
      <c r="H15" s="159"/>
      <c r="I15" s="160"/>
      <c r="J15" s="158">
        <f>COUNTIF($E$47:$E$60,"Pending")+COUNTIF($E$47:$E$60,"Planned")</f>
        <v>9</v>
      </c>
      <c r="K15" s="159"/>
      <c r="L15" s="160"/>
      <c r="M15" s="161">
        <f>COUNTIF($E$47:$E$60,"Deferred")</f>
        <v>1</v>
      </c>
      <c r="N15" s="162"/>
      <c r="O15" s="163"/>
      <c r="P15" s="164">
        <f>COUNTIF($E$47:$E$60,"Dropped")</f>
        <v>1</v>
      </c>
      <c r="Q15" s="165"/>
      <c r="R15" s="166"/>
      <c r="S15" s="155">
        <f>COUNTIF($F$47:$F$60,"Handoff")</f>
        <v>4</v>
      </c>
      <c r="T15" s="157"/>
    </row>
    <row r="18" ht="17.6" spans="1:20">
      <c r="A18" s="167" t="s">
        <v>36</v>
      </c>
      <c r="B18" s="167"/>
      <c r="C18" s="167"/>
      <c r="D18" s="167"/>
      <c r="E18" s="167"/>
      <c r="F18" s="167"/>
      <c r="G18" s="167"/>
      <c r="H18" s="167"/>
      <c r="I18" s="167"/>
      <c r="J18" s="167"/>
      <c r="K18" s="167"/>
      <c r="L18" s="167"/>
      <c r="M18" s="167"/>
      <c r="N18" s="167"/>
      <c r="O18" s="167"/>
      <c r="P18" s="167"/>
      <c r="Q18" s="167"/>
      <c r="R18" s="167"/>
      <c r="S18" s="167"/>
      <c r="T18" s="167"/>
    </row>
    <row r="19" ht="17.55" spans="1:20">
      <c r="A19" s="168"/>
      <c r="B19" s="168"/>
      <c r="C19" s="168"/>
      <c r="D19" s="168"/>
      <c r="E19" s="168"/>
      <c r="F19" s="168"/>
    </row>
    <row r="20" ht="17.55" spans="1:20">
      <c r="A20" s="169" t="s">
        <v>37</v>
      </c>
      <c r="B20" s="170" t="s">
        <v>38</v>
      </c>
      <c r="C20" s="170" t="s">
        <v>39</v>
      </c>
      <c r="D20" s="170" t="s">
        <v>40</v>
      </c>
      <c r="E20" s="170" t="s">
        <v>41</v>
      </c>
      <c r="F20" s="171" t="s">
        <v>42</v>
      </c>
    </row>
    <row r="21" ht="41" spans="1:20">
      <c r="A21" s="172" t="s">
        <v>43</v>
      </c>
      <c r="B21" s="122" t="s">
        <v>44</v>
      </c>
      <c r="C21" s="122" t="s">
        <v>45</v>
      </c>
      <c r="D21" s="173" t="s">
        <v>46</v>
      </c>
      <c r="E21" s="173" t="s">
        <v>47</v>
      </c>
      <c r="F21" s="174" t="s">
        <v>48</v>
      </c>
    </row>
    <row r="22" ht="28" spans="1:20">
      <c r="A22" s="175" t="s">
        <v>49</v>
      </c>
      <c r="B22" s="127" t="s">
        <v>50</v>
      </c>
      <c r="C22" s="127" t="s">
        <v>51</v>
      </c>
      <c r="D22" s="176" t="s">
        <v>52</v>
      </c>
      <c r="E22" s="176" t="s">
        <v>53</v>
      </c>
      <c r="F22" s="177" t="s">
        <v>54</v>
      </c>
    </row>
    <row r="23" ht="28" spans="1:20">
      <c r="A23" s="175" t="s">
        <v>55</v>
      </c>
      <c r="B23" s="127" t="s">
        <v>56</v>
      </c>
      <c r="C23" s="127" t="s">
        <v>57</v>
      </c>
      <c r="D23" s="176" t="s">
        <v>58</v>
      </c>
      <c r="E23" s="176" t="s">
        <v>59</v>
      </c>
      <c r="F23" s="177" t="s">
        <v>48</v>
      </c>
    </row>
    <row r="24" ht="28" spans="1:20">
      <c r="A24" s="175" t="s">
        <v>60</v>
      </c>
      <c r="B24" s="127" t="s">
        <v>61</v>
      </c>
      <c r="C24" s="127" t="s">
        <v>62</v>
      </c>
      <c r="D24" s="176" t="s">
        <v>63</v>
      </c>
      <c r="E24" s="176" t="s">
        <v>16</v>
      </c>
      <c r="F24" s="177" t="s">
        <v>48</v>
      </c>
    </row>
    <row r="25" ht="28.75" spans="1:20">
      <c r="A25" s="178" t="s">
        <v>64</v>
      </c>
      <c r="B25" s="179" t="s">
        <v>65</v>
      </c>
      <c r="C25" s="179" t="s">
        <v>66</v>
      </c>
      <c r="D25" s="180" t="s">
        <v>67</v>
      </c>
      <c r="E25" s="180" t="s">
        <v>68</v>
      </c>
      <c r="F25" s="181" t="s">
        <v>48</v>
      </c>
    </row>
    <row r="28" ht="17.6" spans="1:20">
      <c r="A28" s="182" t="s">
        <v>69</v>
      </c>
      <c r="B28" s="182"/>
      <c r="C28" s="182"/>
      <c r="D28" s="182"/>
      <c r="E28" s="182"/>
      <c r="F28" s="182"/>
      <c r="G28" s="182"/>
      <c r="H28" s="182"/>
      <c r="I28" s="182"/>
      <c r="J28" s="182"/>
      <c r="K28" s="182"/>
      <c r="L28" s="182"/>
      <c r="M28" s="182"/>
      <c r="N28" s="182"/>
      <c r="O28" s="182"/>
      <c r="P28" s="182"/>
      <c r="Q28" s="182"/>
      <c r="R28" s="182"/>
      <c r="S28" s="182"/>
      <c r="T28" s="182"/>
    </row>
    <row r="29" spans="1:20">
      <c r="A29" s="168"/>
      <c r="B29" s="168"/>
      <c r="C29" s="168"/>
      <c r="D29" s="168"/>
      <c r="E29" s="168"/>
      <c r="F29" s="168"/>
      <c r="G29" s="168"/>
      <c r="H29" s="168"/>
      <c r="I29" s="168"/>
    </row>
    <row r="30" spans="1:20">
      <c r="A30" s="183" t="s">
        <v>70</v>
      </c>
      <c r="B30" s="184" t="s">
        <v>71</v>
      </c>
      <c r="C30" s="184" t="s">
        <v>72</v>
      </c>
      <c r="D30" s="184" t="s">
        <v>73</v>
      </c>
      <c r="E30" s="184" t="s">
        <v>74</v>
      </c>
      <c r="F30" s="184" t="s">
        <v>75</v>
      </c>
      <c r="G30" s="184" t="s">
        <v>76</v>
      </c>
      <c r="H30" s="184" t="s">
        <v>77</v>
      </c>
      <c r="I30" s="185" t="s">
        <v>78</v>
      </c>
    </row>
    <row r="31" ht="28" spans="1:20">
      <c r="A31" s="186">
        <v>1</v>
      </c>
      <c r="B31" s="122" t="s">
        <v>79</v>
      </c>
      <c r="C31" s="122" t="s">
        <v>80</v>
      </c>
      <c r="D31" s="122" t="s">
        <v>81</v>
      </c>
      <c r="E31" s="122" t="s">
        <v>82</v>
      </c>
      <c r="F31" s="122" t="s">
        <v>83</v>
      </c>
      <c r="G31" s="122" t="s">
        <v>84</v>
      </c>
      <c r="H31" s="122" t="s">
        <v>85</v>
      </c>
      <c r="I31" s="187" t="s">
        <v>86</v>
      </c>
    </row>
    <row r="32" ht="28" spans="1:20">
      <c r="A32" s="188">
        <v>2</v>
      </c>
      <c r="B32" s="127" t="s">
        <v>87</v>
      </c>
      <c r="C32" s="127" t="s">
        <v>88</v>
      </c>
      <c r="D32" s="127" t="s">
        <v>89</v>
      </c>
      <c r="E32" s="127" t="s">
        <v>82</v>
      </c>
      <c r="F32" s="127" t="s">
        <v>90</v>
      </c>
      <c r="G32" s="127" t="s">
        <v>91</v>
      </c>
      <c r="H32" s="127" t="s">
        <v>85</v>
      </c>
      <c r="I32" s="189" t="s">
        <v>92</v>
      </c>
    </row>
    <row r="33" ht="28" spans="1:23">
      <c r="A33" s="188">
        <v>3</v>
      </c>
      <c r="B33" s="127" t="s">
        <v>87</v>
      </c>
      <c r="C33" s="127" t="s">
        <v>93</v>
      </c>
      <c r="D33" s="127" t="s">
        <v>94</v>
      </c>
      <c r="E33" s="127" t="s">
        <v>82</v>
      </c>
      <c r="F33" s="127" t="s">
        <v>90</v>
      </c>
      <c r="G33" s="127" t="s">
        <v>95</v>
      </c>
      <c r="H33" s="127" t="s">
        <v>96</v>
      </c>
      <c r="I33" s="189" t="s">
        <v>92</v>
      </c>
    </row>
    <row r="34" ht="28" spans="1:23">
      <c r="A34" s="188">
        <v>4</v>
      </c>
      <c r="B34" s="127" t="s">
        <v>97</v>
      </c>
      <c r="C34" s="127" t="s">
        <v>98</v>
      </c>
      <c r="D34" s="127" t="s">
        <v>99</v>
      </c>
      <c r="E34" s="127" t="s">
        <v>82</v>
      </c>
      <c r="F34" s="127" t="s">
        <v>100</v>
      </c>
      <c r="G34" s="127" t="s">
        <v>101</v>
      </c>
      <c r="H34" s="127" t="s">
        <v>102</v>
      </c>
      <c r="I34" s="189" t="s">
        <v>103</v>
      </c>
    </row>
    <row r="35" ht="28" spans="1:23">
      <c r="A35" s="188">
        <v>5</v>
      </c>
      <c r="B35" s="127" t="s">
        <v>104</v>
      </c>
      <c r="C35" s="127" t="s">
        <v>105</v>
      </c>
      <c r="D35" s="127" t="s">
        <v>106</v>
      </c>
      <c r="E35" s="127" t="s">
        <v>107</v>
      </c>
      <c r="F35" s="127" t="s">
        <v>108</v>
      </c>
      <c r="G35" s="127" t="s">
        <v>109</v>
      </c>
      <c r="H35" s="127" t="s">
        <v>110</v>
      </c>
      <c r="I35" s="189" t="s">
        <v>111</v>
      </c>
    </row>
    <row r="36" ht="28" spans="1:23">
      <c r="A36" s="188">
        <v>6</v>
      </c>
      <c r="B36" s="127" t="s">
        <v>104</v>
      </c>
      <c r="C36" s="127" t="s">
        <v>112</v>
      </c>
      <c r="D36" s="127" t="s">
        <v>113</v>
      </c>
      <c r="E36" s="127" t="s">
        <v>114</v>
      </c>
      <c r="F36" s="127" t="s">
        <v>115</v>
      </c>
      <c r="G36" s="127" t="s">
        <v>116</v>
      </c>
      <c r="H36" s="127" t="s">
        <v>110</v>
      </c>
      <c r="I36" s="189" t="s">
        <v>111</v>
      </c>
    </row>
    <row r="37" ht="28" spans="1:23">
      <c r="A37" s="188">
        <v>7</v>
      </c>
      <c r="B37" s="127" t="s">
        <v>117</v>
      </c>
      <c r="C37" s="127" t="s">
        <v>118</v>
      </c>
      <c r="D37" s="127" t="s">
        <v>119</v>
      </c>
      <c r="E37" s="127" t="s">
        <v>120</v>
      </c>
      <c r="F37" s="127" t="s">
        <v>121</v>
      </c>
      <c r="G37" s="127" t="s">
        <v>122</v>
      </c>
      <c r="H37" s="127" t="s">
        <v>123</v>
      </c>
      <c r="I37" s="189" t="s">
        <v>124</v>
      </c>
      <c r="V37" s="190" t="s">
        <v>125</v>
      </c>
      <c r="W37" s="190" t="s">
        <v>126</v>
      </c>
    </row>
    <row r="38" ht="28" spans="1:23">
      <c r="A38" s="188">
        <v>8</v>
      </c>
      <c r="B38" s="127" t="s">
        <v>127</v>
      </c>
      <c r="C38" s="127" t="s">
        <v>128</v>
      </c>
      <c r="D38" s="127" t="s">
        <v>129</v>
      </c>
      <c r="E38" s="127" t="s">
        <v>120</v>
      </c>
      <c r="F38" s="127" t="s">
        <v>130</v>
      </c>
      <c r="G38" s="127" t="s">
        <v>131</v>
      </c>
      <c r="H38" s="127" t="s">
        <v>123</v>
      </c>
      <c r="I38" s="189" t="s">
        <v>132</v>
      </c>
      <c r="V38" s="191" t="s">
        <v>133</v>
      </c>
      <c r="W38" s="191">
        <f>COUNTIF($E$47:$E$60,V38)</f>
        <v>2</v>
      </c>
    </row>
    <row r="39" ht="28" spans="1:23">
      <c r="A39" s="188">
        <v>9</v>
      </c>
      <c r="B39" s="127" t="s">
        <v>134</v>
      </c>
      <c r="C39" s="127" t="s">
        <v>135</v>
      </c>
      <c r="D39" s="127" t="s">
        <v>136</v>
      </c>
      <c r="E39" s="127" t="s">
        <v>82</v>
      </c>
      <c r="F39" s="127" t="s">
        <v>137</v>
      </c>
      <c r="G39" s="127" t="s">
        <v>138</v>
      </c>
      <c r="H39" s="127" t="s">
        <v>139</v>
      </c>
      <c r="I39" s="189" t="s">
        <v>140</v>
      </c>
      <c r="V39" s="191" t="s">
        <v>141</v>
      </c>
      <c r="W39" s="191">
        <f>COUNTIF($E$47:$E$60,V39)</f>
        <v>1</v>
      </c>
    </row>
    <row r="40" ht="28" spans="1:23">
      <c r="A40" s="188">
        <v>10</v>
      </c>
      <c r="B40" s="127" t="s">
        <v>142</v>
      </c>
      <c r="C40" s="127" t="s">
        <v>143</v>
      </c>
      <c r="D40" s="127" t="s">
        <v>144</v>
      </c>
      <c r="E40" s="127" t="s">
        <v>145</v>
      </c>
      <c r="F40" s="127" t="s">
        <v>146</v>
      </c>
      <c r="G40" s="127" t="s">
        <v>147</v>
      </c>
      <c r="H40" s="127" t="s">
        <v>110</v>
      </c>
      <c r="I40" s="189" t="s">
        <v>148</v>
      </c>
      <c r="V40" s="191" t="s">
        <v>149</v>
      </c>
      <c r="W40" s="191">
        <f>COUNTIF($E$47:$E$60,V40)</f>
        <v>8</v>
      </c>
    </row>
    <row r="41" ht="28" spans="1:23">
      <c r="A41" s="188">
        <v>11</v>
      </c>
      <c r="B41" s="127" t="s">
        <v>150</v>
      </c>
      <c r="C41" s="127" t="s">
        <v>151</v>
      </c>
      <c r="D41" s="127" t="s">
        <v>152</v>
      </c>
      <c r="E41" s="127" t="s">
        <v>153</v>
      </c>
      <c r="F41" s="127" t="s">
        <v>154</v>
      </c>
      <c r="G41" s="127" t="s">
        <v>155</v>
      </c>
      <c r="H41" s="127" t="s">
        <v>156</v>
      </c>
      <c r="I41" s="189" t="s">
        <v>157</v>
      </c>
      <c r="V41" s="191" t="s">
        <v>158</v>
      </c>
      <c r="W41" s="191">
        <f>COUNTIF($E$47:$E$60,V41)</f>
        <v>1</v>
      </c>
    </row>
    <row r="42" ht="28" spans="1:23">
      <c r="A42" s="188">
        <v>12</v>
      </c>
      <c r="B42" s="127" t="s">
        <v>159</v>
      </c>
      <c r="C42" s="127" t="s">
        <v>160</v>
      </c>
      <c r="D42" s="127" t="s">
        <v>161</v>
      </c>
      <c r="E42" s="127" t="s">
        <v>162</v>
      </c>
      <c r="F42" s="127" t="s">
        <v>163</v>
      </c>
      <c r="G42" s="127" t="s">
        <v>164</v>
      </c>
      <c r="H42" s="127" t="s">
        <v>165</v>
      </c>
      <c r="I42" s="189" t="s">
        <v>166</v>
      </c>
      <c r="V42" s="191" t="s">
        <v>12</v>
      </c>
      <c r="W42" s="191">
        <f>COUNTIF($E$47:$E$60,V42)</f>
        <v>1</v>
      </c>
    </row>
    <row r="43" s="116" customFormat="1" ht="17.6" spans="1:23">
      <c r="A43" s="192"/>
      <c r="B43" s="192"/>
      <c r="C43" s="192"/>
      <c r="D43" s="192"/>
      <c r="E43" s="192"/>
      <c r="F43" s="192"/>
      <c r="G43" s="192"/>
      <c r="H43" s="192"/>
      <c r="I43" s="192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V43" s="194"/>
      <c r="W43" s="194"/>
    </row>
    <row r="44" ht="17.6" spans="1:23">
      <c r="A44" s="195" t="s">
        <v>167</v>
      </c>
      <c r="B44" s="196" t="s">
        <v>127</v>
      </c>
      <c r="C44" s="196" t="s">
        <v>168</v>
      </c>
      <c r="D44" s="196" t="s">
        <v>169</v>
      </c>
      <c r="E44" s="196" t="s">
        <v>170</v>
      </c>
      <c r="F44" s="196" t="s">
        <v>171</v>
      </c>
      <c r="G44" s="196" t="s">
        <v>172</v>
      </c>
      <c r="H44" s="196" t="s">
        <v>173</v>
      </c>
      <c r="I44" s="197" t="s">
        <v>174</v>
      </c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V44" s="191" t="s">
        <v>16</v>
      </c>
      <c r="W44" s="191">
        <f>COUNTIF($E$47:$E$60,V44)</f>
        <v>1</v>
      </c>
    </row>
    <row r="45" spans="1:23">
      <c r="A45" s="199"/>
      <c r="B45" s="200"/>
      <c r="C45" s="200"/>
      <c r="D45" s="200"/>
      <c r="E45" s="200"/>
      <c r="F45" s="200"/>
      <c r="G45" s="200"/>
      <c r="H45" s="200"/>
      <c r="I45" s="201"/>
      <c r="J45" s="168"/>
      <c r="K45" s="168"/>
      <c r="L45" s="168"/>
      <c r="M45" s="168"/>
      <c r="N45" s="168"/>
      <c r="O45" s="168"/>
      <c r="P45" s="168"/>
      <c r="Q45" s="168"/>
      <c r="R45" s="168"/>
      <c r="S45" s="168"/>
      <c r="T45" s="168"/>
    </row>
    <row r="46" spans="1:23">
      <c r="A46" s="202" t="s">
        <v>70</v>
      </c>
      <c r="B46" s="202" t="s">
        <v>175</v>
      </c>
      <c r="C46" s="202" t="s">
        <v>176</v>
      </c>
      <c r="D46" s="202" t="s">
        <v>177</v>
      </c>
      <c r="E46" s="202" t="s">
        <v>125</v>
      </c>
      <c r="F46" s="202" t="s">
        <v>178</v>
      </c>
      <c r="G46" s="202" t="s">
        <v>179</v>
      </c>
      <c r="H46" s="202" t="s">
        <v>180</v>
      </c>
      <c r="I46" s="202" t="s">
        <v>181</v>
      </c>
      <c r="J46" s="202" t="s">
        <v>182</v>
      </c>
      <c r="K46" s="202" t="s">
        <v>183</v>
      </c>
      <c r="L46" s="202" t="s">
        <v>184</v>
      </c>
      <c r="M46" s="202" t="s">
        <v>185</v>
      </c>
      <c r="N46" s="202" t="s">
        <v>186</v>
      </c>
      <c r="O46" s="202" t="s">
        <v>187</v>
      </c>
      <c r="P46" s="202" t="s">
        <v>188</v>
      </c>
      <c r="Q46" s="202" t="s">
        <v>189</v>
      </c>
      <c r="R46" s="202" t="s">
        <v>190</v>
      </c>
      <c r="S46" s="202" t="s">
        <v>191</v>
      </c>
      <c r="T46" s="202" t="s">
        <v>192</v>
      </c>
    </row>
    <row r="47" ht="41" spans="1:23">
      <c r="A47" s="203">
        <v>1</v>
      </c>
      <c r="B47" s="127" t="s">
        <v>110</v>
      </c>
      <c r="C47" s="127" t="s">
        <v>193</v>
      </c>
      <c r="D47" s="127" t="s">
        <v>194</v>
      </c>
      <c r="E47" s="127" t="s">
        <v>133</v>
      </c>
      <c r="F47" s="127" t="s">
        <v>195</v>
      </c>
      <c r="G47" s="176" t="s">
        <v>196</v>
      </c>
      <c r="H47" s="127" t="str">
        <f>HYPERLINK("file:///Users/test/Documents/AI Media/Hoài Nam/INFRA/DOCS/AI-VIDEO-CREATIVE-WORKFLOWS/AI-VIDEO-CREATIVE-WORKFLOW-DIAGRAM.png","Mở diagram")</f>
        <v>Mở diagram</v>
      </c>
      <c r="I47" s="127" t="str">
        <f>HYPERLINK("https://github.com/brucemakeurname/AI-media-Agent/blob/main/PRODUCTION/goal/%5Bsocial%5D_%5Bai-ugc-short-video%5D.md","Mở goal trên repo")</f>
        <v>Mở goal trên repo</v>
      </c>
      <c r="J47" s="204">
        <v>46237</v>
      </c>
      <c r="K47" s="204" t="s">
        <v>197</v>
      </c>
      <c r="L47" s="127" t="str">
        <f>HYPERLINK("#'AI UGC Video'!A1","Mở chi tiết")</f>
        <v>Mở chi tiết</v>
      </c>
      <c r="M47" s="127" t="s">
        <v>198</v>
      </c>
      <c r="N47" s="127" t="s">
        <v>199</v>
      </c>
      <c r="O47" s="127" t="s">
        <v>200</v>
      </c>
      <c r="P47" s="127" t="s">
        <v>201</v>
      </c>
      <c r="Q47" s="127" t="s">
        <v>202</v>
      </c>
      <c r="R47" s="127" t="s">
        <v>203</v>
      </c>
      <c r="S47" s="127" t="s">
        <v>204</v>
      </c>
      <c r="T47" s="127" t="s">
        <v>205</v>
      </c>
    </row>
    <row r="48" ht="55" spans="1:23">
      <c r="A48" s="203">
        <v>2</v>
      </c>
      <c r="B48" s="127" t="s">
        <v>55</v>
      </c>
      <c r="C48" s="127" t="s">
        <v>206</v>
      </c>
      <c r="D48" s="127" t="s">
        <v>207</v>
      </c>
      <c r="E48" s="127" t="s">
        <v>12</v>
      </c>
      <c r="F48" s="127" t="s">
        <v>12</v>
      </c>
      <c r="G48" s="176" t="s">
        <v>208</v>
      </c>
      <c r="H48" s="127" t="str">
        <f>HYPERLINK("file:///Users/test/Documents/AI Media/Hoài Nam/INFRA/DOCS/AI-VIDEO-CREATIVE-WORKFLOWS/AI-VIDEO-CREATIVE-WORKFLOW-DIAGRAM.png","Mở diagram")</f>
        <v>Mở diagram</v>
      </c>
      <c r="I48" s="127" t="str">
        <f>HYPERLINK("https://github.com/brucemakeurname/AI-media-Agent/blob/main/PRODUCTION/goal/%5Bsocial%5D_%5Bai-clone-short-video%5D.md","Mở goal trên repo")</f>
        <v>Mở goal trên repo</v>
      </c>
      <c r="J48" s="204">
        <v>46246</v>
      </c>
      <c r="K48" s="204"/>
      <c r="L48" s="127" t="str">
        <f>HYPERLINK("#'AI Clone Video'!A1","Mở chi tiết")</f>
        <v>Mở chi tiết</v>
      </c>
      <c r="M48" s="127" t="s">
        <v>209</v>
      </c>
      <c r="N48" s="127" t="s">
        <v>210</v>
      </c>
      <c r="O48" s="127" t="s">
        <v>211</v>
      </c>
      <c r="P48" s="127" t="s">
        <v>212</v>
      </c>
      <c r="Q48" s="127" t="s">
        <v>213</v>
      </c>
      <c r="R48" s="127" t="s">
        <v>214</v>
      </c>
      <c r="S48" s="127" t="s">
        <v>215</v>
      </c>
      <c r="T48" s="127" t="s">
        <v>216</v>
      </c>
      <c r="V48" s="190" t="s">
        <v>217</v>
      </c>
      <c r="W48" s="190" t="s">
        <v>126</v>
      </c>
    </row>
    <row r="49" ht="41" spans="1:23">
      <c r="A49" s="203">
        <v>3</v>
      </c>
      <c r="B49" s="127" t="s">
        <v>218</v>
      </c>
      <c r="C49" s="127" t="s">
        <v>219</v>
      </c>
      <c r="D49" s="127" t="s">
        <v>220</v>
      </c>
      <c r="E49" s="127" t="s">
        <v>149</v>
      </c>
      <c r="F49" s="127" t="s">
        <v>221</v>
      </c>
      <c r="G49" s="176" t="s">
        <v>222</v>
      </c>
      <c r="H49" s="127" t="str">
        <f>HYPERLINK("file:///Users/test/Documents/AI Media/Hoài Nam/INFRA/DOCS/AI-VIDEO-CREATIVE-WORKFLOWS/AI-VIDEO-CREATIVE-WORKFLOW-DIAGRAM.png","Mở diagram")</f>
        <v>Mở diagram</v>
      </c>
      <c r="I49" s="127" t="str">
        <f>HYPERLINK("https://github.com/brucemakeurname/AI-media-Agent/blob/main/PRODUCTION/goal/%5Bsocial%5D_%5Bai-commercial-short-video%5D.md","Mở goal trên repo")</f>
        <v>Mở goal trên repo</v>
      </c>
      <c r="J49" s="204">
        <v>46237</v>
      </c>
      <c r="K49" s="204"/>
      <c r="L49" s="127" t="s">
        <v>63</v>
      </c>
      <c r="M49" s="127" t="s">
        <v>223</v>
      </c>
      <c r="N49" s="127" t="s">
        <v>224</v>
      </c>
      <c r="O49" s="127" t="s">
        <v>225</v>
      </c>
      <c r="P49" s="127" t="s">
        <v>226</v>
      </c>
      <c r="Q49" s="127" t="s">
        <v>227</v>
      </c>
      <c r="R49" s="127" t="s">
        <v>228</v>
      </c>
      <c r="S49" s="127" t="s">
        <v>229</v>
      </c>
      <c r="T49" s="127" t="s">
        <v>230</v>
      </c>
      <c r="V49" s="191" t="s">
        <v>194</v>
      </c>
      <c r="W49" s="191">
        <f t="shared" ref="W49:W62" si="0">COUNTIF($D$47:$D$60,V49)</f>
        <v>1</v>
      </c>
    </row>
    <row r="50" ht="55" spans="1:23">
      <c r="A50" s="203">
        <v>4</v>
      </c>
      <c r="B50" s="127" t="s">
        <v>173</v>
      </c>
      <c r="C50" s="127" t="s">
        <v>231</v>
      </c>
      <c r="D50" s="127" t="s">
        <v>232</v>
      </c>
      <c r="E50" s="127" t="s">
        <v>149</v>
      </c>
      <c r="F50" s="127" t="s">
        <v>221</v>
      </c>
      <c r="G50" s="176" t="s">
        <v>222</v>
      </c>
      <c r="H50" s="127" t="str">
        <f>HYPERLINK("file:///Users/test/Documents/AI Media/Hoài Nam/INFRA/DOCS/AI-VIDEO-CREATIVE-WORKFLOWS/AI-VIDEO-CREATIVE-WORKFLOW-DIAGRAM.png","Mở diagram")</f>
        <v>Mở diagram</v>
      </c>
      <c r="I50" s="127" t="str">
        <f>HYPERLINK("https://github.com/brucemakeurname/AI-media-Agent/blob/main/PRODUCTION/goal/%5Bsocial%5D_%5Bai-construction-timelapse-short-video%5D.md","Mở goal trên repo")</f>
        <v>Mở goal trên repo</v>
      </c>
      <c r="J50" s="204">
        <v>46244</v>
      </c>
      <c r="K50" s="204"/>
      <c r="L50" s="127" t="s">
        <v>63</v>
      </c>
      <c r="M50" s="127" t="s">
        <v>223</v>
      </c>
      <c r="N50" s="127" t="s">
        <v>233</v>
      </c>
      <c r="O50" s="127" t="s">
        <v>234</v>
      </c>
      <c r="P50" s="127" t="s">
        <v>235</v>
      </c>
      <c r="Q50" s="127" t="s">
        <v>227</v>
      </c>
      <c r="R50" s="127" t="s">
        <v>236</v>
      </c>
      <c r="S50" s="127" t="s">
        <v>237</v>
      </c>
      <c r="T50" s="127" t="s">
        <v>238</v>
      </c>
      <c r="V50" s="191" t="s">
        <v>239</v>
      </c>
      <c r="W50" s="191">
        <f t="shared" si="0"/>
        <v>0</v>
      </c>
    </row>
    <row r="51" ht="28" spans="1:23">
      <c r="A51" s="203">
        <v>5</v>
      </c>
      <c r="B51" s="127" t="s">
        <v>240</v>
      </c>
      <c r="C51" s="127" t="s">
        <v>241</v>
      </c>
      <c r="D51" s="127" t="s">
        <v>242</v>
      </c>
      <c r="E51" s="127" t="s">
        <v>141</v>
      </c>
      <c r="F51" s="127" t="s">
        <v>195</v>
      </c>
      <c r="G51" s="176" t="s">
        <v>196</v>
      </c>
      <c r="H51" s="127" t="str">
        <f>HYPERLINK("file:///Users/test/Documents/AI Media/Hoài Nam/INFRA/DOCS/social-ai-clone-creative/social-ai-clone-creative-WORKFLOW-DIAGRAM.png","Mở diagram")</f>
        <v>Mở diagram</v>
      </c>
      <c r="I51" s="127" t="str">
        <f>HYPERLINK("https://github.com/brucemakeurname/AI-media-Agent/blob/main/PRODUCTION/goal/%5Bsocial%5D_%5Bai_clone_creative%5D.md","Mở goal trên repo")</f>
        <v>Mở goal trên repo</v>
      </c>
      <c r="J51" s="204">
        <v>46247</v>
      </c>
      <c r="K51" s="204" t="s">
        <v>243</v>
      </c>
      <c r="L51" s="127" t="str">
        <f>HYPERLINK("#'AI Clone Creative'!A1","Mở chi tiết")</f>
        <v>Mở chi tiết</v>
      </c>
      <c r="M51" s="127" t="s">
        <v>244</v>
      </c>
      <c r="N51" s="127" t="s">
        <v>245</v>
      </c>
      <c r="O51" s="127" t="s">
        <v>246</v>
      </c>
      <c r="P51" s="127" t="s">
        <v>247</v>
      </c>
      <c r="Q51" s="127" t="s">
        <v>248</v>
      </c>
      <c r="R51" s="127" t="s">
        <v>249</v>
      </c>
      <c r="S51" s="127" t="s">
        <v>250</v>
      </c>
      <c r="T51" s="127" t="s">
        <v>251</v>
      </c>
      <c r="V51" s="191" t="s">
        <v>220</v>
      </c>
      <c r="W51" s="191">
        <f t="shared" si="0"/>
        <v>1</v>
      </c>
    </row>
    <row r="52" ht="28" spans="1:23">
      <c r="A52" s="203">
        <v>6</v>
      </c>
      <c r="B52" s="127" t="s">
        <v>252</v>
      </c>
      <c r="C52" s="127" t="s">
        <v>253</v>
      </c>
      <c r="D52" s="127" t="s">
        <v>254</v>
      </c>
      <c r="E52" s="127" t="s">
        <v>149</v>
      </c>
      <c r="F52" s="127" t="s">
        <v>221</v>
      </c>
      <c r="G52" s="176" t="s">
        <v>222</v>
      </c>
      <c r="H52" s="127" t="str">
        <f>HYPERLINK("file:///Users/test/Documents/AI Media/Hoài Nam/INFRA/DOCS/social-single-static/social-single-static-WORKFLOW-DIAGRAM.png","Mở diagram")</f>
        <v>Mở diagram</v>
      </c>
      <c r="I52" s="127" t="str">
        <f>HYPERLINK("https://github.com/brucemakeurname/AI-media-Agent/blob/main/PRODUCTION/goal/%5Bsocial%5D_%5Bhtml-carousel%5D.md","Mở goal trên repo")</f>
        <v>Mở goal trên repo</v>
      </c>
      <c r="J52" s="204">
        <v>46238</v>
      </c>
      <c r="K52" s="204"/>
      <c r="L52" s="127" t="s">
        <v>63</v>
      </c>
      <c r="M52" s="127" t="s">
        <v>255</v>
      </c>
      <c r="N52" s="127" t="s">
        <v>256</v>
      </c>
      <c r="O52" s="127" t="s">
        <v>257</v>
      </c>
      <c r="P52" s="127" t="s">
        <v>258</v>
      </c>
      <c r="Q52" s="127" t="s">
        <v>227</v>
      </c>
      <c r="R52" s="127" t="s">
        <v>259</v>
      </c>
      <c r="S52" s="127" t="s">
        <v>260</v>
      </c>
      <c r="T52" s="127" t="s">
        <v>261</v>
      </c>
      <c r="V52" s="191" t="s">
        <v>232</v>
      </c>
      <c r="W52" s="191">
        <f t="shared" si="0"/>
        <v>1</v>
      </c>
    </row>
    <row r="53" ht="28" spans="1:23">
      <c r="A53" s="203">
        <v>7</v>
      </c>
      <c r="B53" s="127" t="s">
        <v>262</v>
      </c>
      <c r="C53" s="127" t="s">
        <v>263</v>
      </c>
      <c r="D53" s="127" t="s">
        <v>264</v>
      </c>
      <c r="E53" s="127" t="s">
        <v>149</v>
      </c>
      <c r="F53" s="127" t="s">
        <v>221</v>
      </c>
      <c r="G53" s="176" t="s">
        <v>222</v>
      </c>
      <c r="H53" s="127" t="str">
        <f>HYPERLINK("file:///Users/test/Documents/AI Media/Hoài Nam/INFRA/DOCS/AI-VIDEO-CREATIVE-WORKFLOWS/AI-VIDEO-CREATIVE-WORKFLOW-DIAGRAM.png","Mở diagram")</f>
        <v>Mở diagram</v>
      </c>
      <c r="I53" s="127" t="str">
        <f>HYPERLINK("https://github.com/brucemakeurname/AI-media-Agent/blob/main/PRODUCTION/goal/%5Bsocial%5D_%5Bhuman-short-video%5D.md","Mở goal trên repo")</f>
        <v>Mở goal trên repo</v>
      </c>
      <c r="J53" s="204">
        <v>46222</v>
      </c>
      <c r="K53" s="204"/>
      <c r="L53" s="127" t="s">
        <v>63</v>
      </c>
      <c r="M53" s="127" t="s">
        <v>54</v>
      </c>
      <c r="N53" s="127" t="s">
        <v>265</v>
      </c>
      <c r="O53" s="127" t="s">
        <v>266</v>
      </c>
      <c r="P53" s="127" t="s">
        <v>267</v>
      </c>
      <c r="Q53" s="127" t="s">
        <v>268</v>
      </c>
      <c r="R53" s="127" t="s">
        <v>269</v>
      </c>
      <c r="S53" s="127" t="s">
        <v>270</v>
      </c>
      <c r="T53" s="127" t="s">
        <v>271</v>
      </c>
      <c r="V53" s="191" t="s">
        <v>272</v>
      </c>
      <c r="W53" s="191">
        <f t="shared" si="0"/>
        <v>0</v>
      </c>
    </row>
    <row r="54" ht="41" spans="1:23">
      <c r="A54" s="203">
        <v>8</v>
      </c>
      <c r="B54" s="127" t="s">
        <v>273</v>
      </c>
      <c r="C54" s="127" t="s">
        <v>274</v>
      </c>
      <c r="D54" s="127" t="s">
        <v>275</v>
      </c>
      <c r="E54" s="127" t="s">
        <v>149</v>
      </c>
      <c r="F54" s="127" t="s">
        <v>221</v>
      </c>
      <c r="G54" s="176" t="s">
        <v>222</v>
      </c>
      <c r="H54" s="127" t="str">
        <f>HYPERLINK("file:///Users/test/Documents/AI Media/Hoài Nam/INFRA/DOCS/social-single-static/social-single-static-WORKFLOW-DIAGRAM.png","Mở diagram")</f>
        <v>Mở diagram</v>
      </c>
      <c r="I54" s="127" t="str">
        <f>HYPERLINK("https://github.com/brucemakeurname/AI-media-Agent/blob/main/PRODUCTION/goal/%5Bsocial%5D_%5Bimg-carousel%5D.md","Mở goal trên repo")</f>
        <v>Mở goal trên repo</v>
      </c>
      <c r="J54" s="204">
        <v>46237</v>
      </c>
      <c r="K54" s="204"/>
      <c r="L54" s="127" t="s">
        <v>63</v>
      </c>
      <c r="M54" s="127" t="s">
        <v>255</v>
      </c>
      <c r="N54" s="127" t="s">
        <v>276</v>
      </c>
      <c r="O54" s="127" t="s">
        <v>277</v>
      </c>
      <c r="P54" s="127" t="s">
        <v>278</v>
      </c>
      <c r="Q54" s="127" t="s">
        <v>279</v>
      </c>
      <c r="R54" s="127" t="s">
        <v>280</v>
      </c>
      <c r="S54" s="127" t="s">
        <v>281</v>
      </c>
      <c r="T54" s="127" t="s">
        <v>282</v>
      </c>
      <c r="V54" s="191" t="s">
        <v>254</v>
      </c>
      <c r="W54" s="191">
        <f t="shared" si="0"/>
        <v>1</v>
      </c>
    </row>
    <row r="55" ht="28" spans="1:23">
      <c r="A55" s="203">
        <v>9</v>
      </c>
      <c r="B55" s="127" t="s">
        <v>283</v>
      </c>
      <c r="C55" s="127" t="s">
        <v>284</v>
      </c>
      <c r="D55" s="127" t="s">
        <v>285</v>
      </c>
      <c r="E55" s="127" t="s">
        <v>149</v>
      </c>
      <c r="F55" s="127" t="s">
        <v>221</v>
      </c>
      <c r="G55" s="176" t="s">
        <v>286</v>
      </c>
      <c r="H55" s="127" t="str">
        <f>HYPERLINK("file:///Users/test/Documents/AI Media/Hoài Nam/INFRA/DOCS/social-single-static/social-single-static-WORKFLOW-DIAGRAM.png","Mở diagram")</f>
        <v>Mở diagram</v>
      </c>
      <c r="I55" s="127" t="str">
        <f>HYPERLINK("https://github.com/brucemakeurname/AI-media-Agent/blob/main/PRODUCTION/goal/%5Bsocial%5D_%5Bindustry-news-html-summery%5D.md","Mở goal trên repo")</f>
        <v>Mở goal trên repo</v>
      </c>
      <c r="J55" s="204">
        <v>46244</v>
      </c>
      <c r="K55" s="204"/>
      <c r="L55" s="127" t="s">
        <v>63</v>
      </c>
      <c r="M55" s="127" t="s">
        <v>287</v>
      </c>
      <c r="N55" s="127" t="s">
        <v>288</v>
      </c>
      <c r="O55" s="127" t="s">
        <v>289</v>
      </c>
      <c r="P55" s="127" t="s">
        <v>290</v>
      </c>
      <c r="Q55" s="127" t="s">
        <v>291</v>
      </c>
      <c r="R55" s="127" t="s">
        <v>292</v>
      </c>
      <c r="S55" s="127" t="s">
        <v>293</v>
      </c>
      <c r="T55" s="127" t="s">
        <v>294</v>
      </c>
      <c r="V55" s="191" t="s">
        <v>264</v>
      </c>
      <c r="W55" s="191">
        <f t="shared" si="0"/>
        <v>1</v>
      </c>
    </row>
    <row r="56" ht="28" spans="1:23">
      <c r="A56" s="203">
        <v>10</v>
      </c>
      <c r="B56" s="127" t="s">
        <v>295</v>
      </c>
      <c r="C56" s="127" t="s">
        <v>296</v>
      </c>
      <c r="D56" s="127" t="s">
        <v>297</v>
      </c>
      <c r="E56" s="127" t="s">
        <v>149</v>
      </c>
      <c r="F56" s="127" t="s">
        <v>221</v>
      </c>
      <c r="G56" s="176" t="s">
        <v>286</v>
      </c>
      <c r="H56" s="127" t="str">
        <f>HYPERLINK("file:///Users/test/Documents/AI Media/Hoài Nam/INFRA/DOCS/AI-VIDEO-CREATIVE-WORKFLOWS/AI-VIDEO-CREATIVE-WORKFLOW-DIAGRAM.png","Mở diagram")</f>
        <v>Mở diagram</v>
      </c>
      <c r="I56" s="127" t="str">
        <f>HYPERLINK("https://github.com/brucemakeurname/AI-media-Agent/blob/main/PRODUCTION/goal/%5Bsocial%5D_%5Bmotion-graphic%5D.md","Mở goal trên repo")</f>
        <v>Mở goal trên repo</v>
      </c>
      <c r="J56" s="204">
        <v>46222</v>
      </c>
      <c r="K56" s="204"/>
      <c r="L56" s="127" t="s">
        <v>63</v>
      </c>
      <c r="M56" s="127" t="s">
        <v>298</v>
      </c>
      <c r="N56" s="127" t="s">
        <v>299</v>
      </c>
      <c r="O56" s="127" t="s">
        <v>300</v>
      </c>
      <c r="P56" s="127" t="s">
        <v>301</v>
      </c>
      <c r="Q56" s="127" t="s">
        <v>302</v>
      </c>
      <c r="R56" s="127" t="s">
        <v>303</v>
      </c>
      <c r="S56" s="127" t="s">
        <v>270</v>
      </c>
      <c r="T56" s="127" t="s">
        <v>304</v>
      </c>
      <c r="V56" s="191" t="s">
        <v>275</v>
      </c>
      <c r="W56" s="191">
        <f t="shared" si="0"/>
        <v>1</v>
      </c>
    </row>
    <row r="57" ht="41" spans="1:23">
      <c r="A57" s="203">
        <v>11</v>
      </c>
      <c r="B57" s="127" t="s">
        <v>305</v>
      </c>
      <c r="C57" s="127" t="s">
        <v>306</v>
      </c>
      <c r="D57" s="127" t="s">
        <v>307</v>
      </c>
      <c r="E57" s="127" t="s">
        <v>133</v>
      </c>
      <c r="F57" s="127" t="s">
        <v>195</v>
      </c>
      <c r="G57" s="176" t="s">
        <v>196</v>
      </c>
      <c r="H57" s="127" t="str">
        <f>HYPERLINK("file:///Users/test/Documents/AI Media/Hoài Nam/INFRA/DOCS/social-single-static/social-single-static-WORKFLOW-DIAGRAM.png","Mở diagram")</f>
        <v>Mở diagram</v>
      </c>
      <c r="I57" s="127" t="str">
        <f>HYPERLINK("https://github.com/brucemakeurname/AI-media-Agent/blob/main/PRODUCTION/goal/%5Bsocial%5D_%5Bsingle-static%5D.md","Mở goal trên repo")</f>
        <v>Mở goal trên repo</v>
      </c>
      <c r="J57" s="204">
        <v>46222</v>
      </c>
      <c r="K57" s="204" t="s">
        <v>243</v>
      </c>
      <c r="L57" s="127" t="str">
        <f>HYPERLINK("#'Single Static'!A1","Mở chi tiết")</f>
        <v>Mở chi tiết</v>
      </c>
      <c r="M57" s="127" t="s">
        <v>255</v>
      </c>
      <c r="N57" s="127" t="s">
        <v>276</v>
      </c>
      <c r="O57" s="127" t="s">
        <v>308</v>
      </c>
      <c r="P57" s="127" t="s">
        <v>309</v>
      </c>
      <c r="Q57" s="127" t="s">
        <v>310</v>
      </c>
      <c r="R57" s="127" t="s">
        <v>311</v>
      </c>
      <c r="S57" s="127" t="s">
        <v>312</v>
      </c>
      <c r="T57" s="127" t="s">
        <v>313</v>
      </c>
      <c r="V57" s="191" t="s">
        <v>285</v>
      </c>
      <c r="W57" s="191">
        <f t="shared" si="0"/>
        <v>1</v>
      </c>
    </row>
    <row r="58" ht="28" spans="1:23">
      <c r="A58" s="203">
        <v>12</v>
      </c>
      <c r="B58" s="127" t="s">
        <v>314</v>
      </c>
      <c r="C58" s="127" t="s">
        <v>315</v>
      </c>
      <c r="D58" s="127" t="s">
        <v>316</v>
      </c>
      <c r="E58" s="127" t="s">
        <v>149</v>
      </c>
      <c r="F58" s="127" t="s">
        <v>221</v>
      </c>
      <c r="G58" s="176" t="s">
        <v>286</v>
      </c>
      <c r="H58" s="127" t="str">
        <f>HYPERLINK("file:///Users/test/Documents/AI Media/Hoài Nam/INFRA/DOCS/social-single-static/social-single-static-WORKFLOW-DIAGRAM.png","Mở diagram")</f>
        <v>Mở diagram</v>
      </c>
      <c r="I58" s="127" t="str">
        <f>HYPERLINK("https://github.com/brucemakeurname/AI-media-Agent/blob/main/PRODUCTION/goal/%5Bsocial%5D_%5Bsplit-4-img%5D.md","Mở goal trên repo")</f>
        <v>Mở goal trên repo</v>
      </c>
      <c r="J58" s="204">
        <v>46238</v>
      </c>
      <c r="K58" s="204"/>
      <c r="L58" s="127" t="s">
        <v>63</v>
      </c>
      <c r="M58" s="127" t="s">
        <v>317</v>
      </c>
      <c r="N58" s="127" t="s">
        <v>318</v>
      </c>
      <c r="O58" s="127" t="s">
        <v>319</v>
      </c>
      <c r="P58" s="127" t="s">
        <v>320</v>
      </c>
      <c r="Q58" s="127" t="s">
        <v>279</v>
      </c>
      <c r="R58" s="127" t="s">
        <v>321</v>
      </c>
      <c r="S58" s="127" t="s">
        <v>281</v>
      </c>
      <c r="T58" s="127" t="s">
        <v>322</v>
      </c>
      <c r="V58" s="191" t="s">
        <v>297</v>
      </c>
      <c r="W58" s="191">
        <f t="shared" si="0"/>
        <v>1</v>
      </c>
    </row>
    <row r="59" ht="41" spans="1:23">
      <c r="A59" s="203">
        <v>13</v>
      </c>
      <c r="B59" s="127" t="s">
        <v>323</v>
      </c>
      <c r="C59" s="127" t="s">
        <v>324</v>
      </c>
      <c r="D59" s="127" t="s">
        <v>325</v>
      </c>
      <c r="E59" s="127" t="s">
        <v>158</v>
      </c>
      <c r="F59" s="127" t="s">
        <v>195</v>
      </c>
      <c r="G59" s="176" t="s">
        <v>196</v>
      </c>
      <c r="H59" s="127" t="str">
        <f>HYPERLINK("file:///Users/test/Documents/AI Media/Hoài Nam/INFRA/DOCS/AI-VIDEO-CREATIVE-WORKFLOWS/AI-VIDEO-CREATIVE-WORKFLOW-DIAGRAM.png","Mở diagram")</f>
        <v>Mở diagram</v>
      </c>
      <c r="I59" s="127" t="s">
        <v>326</v>
      </c>
      <c r="J59" s="204">
        <v>46252</v>
      </c>
      <c r="K59" s="204"/>
      <c r="L59" s="127" t="str">
        <f>HYPERLINK("#'Edit Source Mix'!A1","Mở chi tiết")</f>
        <v>Mở chi tiết</v>
      </c>
      <c r="M59" s="127" t="s">
        <v>54</v>
      </c>
      <c r="N59" s="127" t="s">
        <v>327</v>
      </c>
      <c r="O59" s="127" t="s">
        <v>328</v>
      </c>
      <c r="P59" s="127" t="s">
        <v>329</v>
      </c>
      <c r="Q59" s="127" t="s">
        <v>330</v>
      </c>
      <c r="R59" s="127" t="s">
        <v>331</v>
      </c>
      <c r="S59" s="127" t="s">
        <v>332</v>
      </c>
      <c r="T59" s="127" t="s">
        <v>333</v>
      </c>
      <c r="V59" s="191" t="s">
        <v>307</v>
      </c>
      <c r="W59" s="191">
        <f t="shared" si="0"/>
        <v>1</v>
      </c>
    </row>
    <row r="60" ht="41" spans="1:23">
      <c r="A60" s="205">
        <v>14</v>
      </c>
      <c r="B60" s="131" t="s">
        <v>334</v>
      </c>
      <c r="C60" s="131" t="s">
        <v>324</v>
      </c>
      <c r="D60" s="131" t="s">
        <v>335</v>
      </c>
      <c r="E60" s="131" t="s">
        <v>16</v>
      </c>
      <c r="F60" s="131" t="s">
        <v>16</v>
      </c>
      <c r="G60" s="206" t="s">
        <v>222</v>
      </c>
      <c r="H60" s="131" t="str">
        <f>HYPERLINK("file:///Users/test/Documents/AI Media/Hoài Nam/INFRA/DOCS/AI-VIDEO-CREATIVE-WORKFLOWS/AI-VIDEO-CREATIVE-WORKFLOW-DIAGRAM.png","Mở diagram")</f>
        <v>Mở diagram</v>
      </c>
      <c r="I60" s="131" t="s">
        <v>326</v>
      </c>
      <c r="J60" s="207">
        <v>46252</v>
      </c>
      <c r="K60" s="207"/>
      <c r="L60" s="131" t="str">
        <f>HYPERLINK("#'HTML Video Dropped'!A1","Mở chi tiết")</f>
        <v>Mở chi tiết</v>
      </c>
      <c r="M60" s="131" t="s">
        <v>48</v>
      </c>
      <c r="N60" s="131" t="s">
        <v>336</v>
      </c>
      <c r="O60" s="131" t="s">
        <v>337</v>
      </c>
      <c r="P60" s="131" t="s">
        <v>338</v>
      </c>
      <c r="Q60" s="131" t="s">
        <v>339</v>
      </c>
      <c r="R60" s="131" t="s">
        <v>340</v>
      </c>
      <c r="S60" s="131" t="s">
        <v>341</v>
      </c>
      <c r="T60" s="131" t="s">
        <v>342</v>
      </c>
      <c r="V60" s="191" t="s">
        <v>316</v>
      </c>
      <c r="W60" s="191">
        <f t="shared" si="0"/>
        <v>1</v>
      </c>
    </row>
    <row r="61" spans="1:23">
      <c r="V61" s="191" t="s">
        <v>325</v>
      </c>
      <c r="W61" s="191">
        <f t="shared" si="0"/>
        <v>1</v>
      </c>
    </row>
    <row r="62" ht="17.6" spans="1:23">
      <c r="A62" s="208" t="s">
        <v>343</v>
      </c>
      <c r="B62" s="208"/>
      <c r="C62" s="208"/>
      <c r="D62" s="208"/>
      <c r="E62" s="208"/>
      <c r="F62" s="208"/>
      <c r="G62" s="208"/>
      <c r="H62" s="208"/>
      <c r="I62" s="208"/>
      <c r="J62" s="208"/>
      <c r="K62" s="208"/>
      <c r="L62" s="208"/>
      <c r="M62" s="208"/>
      <c r="N62" s="208"/>
      <c r="O62" s="208"/>
      <c r="P62" s="208"/>
      <c r="Q62" s="208"/>
      <c r="R62" s="208"/>
      <c r="S62" s="208"/>
      <c r="T62" s="208"/>
      <c r="V62" s="191" t="s">
        <v>335</v>
      </c>
      <c r="W62" s="191">
        <f t="shared" si="0"/>
        <v>1</v>
      </c>
    </row>
    <row r="63" spans="1:23">
      <c r="A63" s="168"/>
      <c r="B63" s="168"/>
      <c r="C63" s="168"/>
      <c r="D63" s="168"/>
      <c r="E63" s="168"/>
      <c r="F63" s="168"/>
      <c r="G63" s="168"/>
      <c r="H63" s="168"/>
    </row>
    <row r="64" spans="1:23">
      <c r="A64" s="209" t="s">
        <v>70</v>
      </c>
      <c r="B64" s="209" t="s">
        <v>344</v>
      </c>
      <c r="C64" s="209" t="s">
        <v>73</v>
      </c>
      <c r="D64" s="209" t="s">
        <v>345</v>
      </c>
      <c r="E64" s="209" t="s">
        <v>346</v>
      </c>
      <c r="F64" s="209" t="s">
        <v>347</v>
      </c>
      <c r="G64" s="209" t="s">
        <v>75</v>
      </c>
      <c r="H64" s="209" t="s">
        <v>77</v>
      </c>
    </row>
    <row r="65" ht="28" spans="1:8">
      <c r="A65" s="210">
        <v>1</v>
      </c>
      <c r="B65" s="122" t="s">
        <v>348</v>
      </c>
      <c r="C65" s="122" t="s">
        <v>349</v>
      </c>
      <c r="D65" s="122" t="str">
        <f>HYPERLINK("https://github.com/brucemakeurname/AI-media-Agent/blob/main/PRODUCTION/.agents/skills/notion2goal/SKILL.md","Mở skill/source")</f>
        <v>Mở skill/source</v>
      </c>
      <c r="E65" s="122" t="s">
        <v>350</v>
      </c>
      <c r="F65" s="122" t="s">
        <v>351</v>
      </c>
      <c r="G65" s="122" t="s">
        <v>352</v>
      </c>
      <c r="H65" s="125" t="s">
        <v>353</v>
      </c>
    </row>
    <row r="66" spans="1:8">
      <c r="A66" s="203">
        <v>2</v>
      </c>
      <c r="B66" s="127" t="s">
        <v>354</v>
      </c>
      <c r="C66" s="127" t="s">
        <v>355</v>
      </c>
      <c r="D66" s="127" t="str">
        <f>HYPERLINK("https://github.com/brucemakeurname/AI-media-Agent/blob/main/PRODUCTION/.agents/skills/wiki-query/SKILL.md","Mở skill/source")</f>
        <v>Mở skill/source</v>
      </c>
      <c r="E66" s="127" t="s">
        <v>356</v>
      </c>
      <c r="F66" s="127" t="s">
        <v>357</v>
      </c>
      <c r="G66" s="127" t="s">
        <v>352</v>
      </c>
      <c r="H66" s="130" t="s">
        <v>353</v>
      </c>
    </row>
    <row r="67" ht="28" spans="1:8">
      <c r="A67" s="203">
        <v>3</v>
      </c>
      <c r="B67" s="127" t="s">
        <v>124</v>
      </c>
      <c r="C67" s="127" t="s">
        <v>358</v>
      </c>
      <c r="D67" s="127" t="str">
        <f>HYPERLINK("https://github.com/brucemakeurname/AI-media-Agent/blob/main/PRODUCTION/.agents/skills/gemini-tts-timing/SKILL.md","Mở skill/source")</f>
        <v>Mở skill/source</v>
      </c>
      <c r="E67" s="127" t="s">
        <v>359</v>
      </c>
      <c r="F67" s="127" t="s">
        <v>360</v>
      </c>
      <c r="G67" s="127" t="s">
        <v>352</v>
      </c>
      <c r="H67" s="130" t="s">
        <v>123</v>
      </c>
    </row>
    <row r="68" ht="41" spans="1:8">
      <c r="A68" s="203">
        <v>4</v>
      </c>
      <c r="B68" s="127" t="s">
        <v>361</v>
      </c>
      <c r="C68" s="127" t="s">
        <v>362</v>
      </c>
      <c r="D68" s="127" t="str">
        <f>HYPERLINK("https://github.com/brucemakeurname/AI-media-Agent/blob/main/PRODUCTION/.agents/skills/write-shooting-script/SKILL.md","Mở skill/source")</f>
        <v>Mở skill/source</v>
      </c>
      <c r="E68" s="127" t="s">
        <v>363</v>
      </c>
      <c r="F68" s="127" t="s">
        <v>364</v>
      </c>
      <c r="G68" s="127" t="s">
        <v>352</v>
      </c>
      <c r="H68" s="130" t="s">
        <v>365</v>
      </c>
    </row>
    <row r="69" ht="28" spans="1:8">
      <c r="A69" s="203">
        <v>5</v>
      </c>
      <c r="B69" s="127" t="s">
        <v>366</v>
      </c>
      <c r="C69" s="127" t="s">
        <v>367</v>
      </c>
      <c r="D69" s="127" t="str">
        <f>HYPERLINK("https://github.com/brucemakeurname/AI-media-Agent/blob/main/PRODUCTION/.agents/skills/write-ai-ugc-video-sequence-script/SKILL.md","Mở skill/source")</f>
        <v>Mở skill/source</v>
      </c>
      <c r="E69" s="127" t="s">
        <v>368</v>
      </c>
      <c r="F69" s="127" t="s">
        <v>369</v>
      </c>
      <c r="G69" s="127" t="s">
        <v>352</v>
      </c>
      <c r="H69" s="130" t="s">
        <v>123</v>
      </c>
    </row>
    <row r="70" ht="28" spans="1:8">
      <c r="A70" s="203">
        <v>6</v>
      </c>
      <c r="B70" s="127" t="s">
        <v>370</v>
      </c>
      <c r="C70" s="127" t="s">
        <v>371</v>
      </c>
      <c r="D70" s="127" t="str">
        <f>HYPERLINK("https://github.com/brucemakeurname/AI-media-Agent/blob/main/PRODUCTION/.agents/skills/tea-ugc-ai-realism/SKILL.md","Mở skill/source")</f>
        <v>Mở skill/source</v>
      </c>
      <c r="E70" s="127" t="s">
        <v>372</v>
      </c>
      <c r="F70" s="127" t="s">
        <v>373</v>
      </c>
      <c r="G70" s="127" t="s">
        <v>352</v>
      </c>
      <c r="H70" s="130" t="s">
        <v>123</v>
      </c>
    </row>
    <row r="71" ht="55" spans="1:8">
      <c r="A71" s="203">
        <v>7</v>
      </c>
      <c r="B71" s="127" t="s">
        <v>374</v>
      </c>
      <c r="C71" s="127" t="s">
        <v>375</v>
      </c>
      <c r="D71" s="127" t="str">
        <f>HYPERLINK("https://github.com/brucemakeurname/AI-media-Agent/blob/main/PRODUCTION/.agents/skills/photography-direction/SKILL.md","Mở skill/source")</f>
        <v>Mở skill/source</v>
      </c>
      <c r="E71" s="127" t="s">
        <v>376</v>
      </c>
      <c r="F71" s="127" t="s">
        <v>377</v>
      </c>
      <c r="G71" s="127" t="s">
        <v>352</v>
      </c>
      <c r="H71" s="130" t="s">
        <v>378</v>
      </c>
    </row>
    <row r="72" ht="55" spans="1:8">
      <c r="A72" s="203">
        <v>8</v>
      </c>
      <c r="B72" s="127" t="s">
        <v>379</v>
      </c>
      <c r="C72" s="127" t="s">
        <v>380</v>
      </c>
      <c r="D72" s="127" t="str">
        <f>HYPERLINK("https://github.com/brucemakeurname/AI-media-Agent/blob/main/PRODUCTION/.agents/skills/creative-direction/SKILL.md","Mở skill/source")</f>
        <v>Mở skill/source</v>
      </c>
      <c r="E72" s="127" t="s">
        <v>381</v>
      </c>
      <c r="F72" s="127" t="s">
        <v>377</v>
      </c>
      <c r="G72" s="127" t="s">
        <v>352</v>
      </c>
      <c r="H72" s="130" t="s">
        <v>382</v>
      </c>
    </row>
    <row r="73" ht="28" spans="1:8">
      <c r="A73" s="203">
        <v>9</v>
      </c>
      <c r="B73" s="127" t="s">
        <v>383</v>
      </c>
      <c r="C73" s="127" t="s">
        <v>384</v>
      </c>
      <c r="D73" s="127" t="str">
        <f>HYPERLINK("https://github.com/brucemakeurname/AI-media-Agent/blob/main/PRODUCTION/.agents/skills/element-resolver/SKILL.md","Mở skill/source")</f>
        <v>Mở skill/source</v>
      </c>
      <c r="E73" s="127" t="s">
        <v>385</v>
      </c>
      <c r="F73" s="127" t="s">
        <v>386</v>
      </c>
      <c r="G73" s="127" t="s">
        <v>352</v>
      </c>
      <c r="H73" s="130" t="s">
        <v>387</v>
      </c>
    </row>
    <row r="74" ht="55" spans="1:8">
      <c r="A74" s="203">
        <v>10</v>
      </c>
      <c r="B74" s="127" t="s">
        <v>388</v>
      </c>
      <c r="C74" s="127" t="s">
        <v>389</v>
      </c>
      <c r="D74" s="127" t="str">
        <f>HYPERLINK("https://github.com/brucemakeurname/AI-media-Agent/blob/main/PRODUCTION/.agents/skills/acad-image-gen/SKILL.md","Mở skill/source")</f>
        <v>Mở skill/source</v>
      </c>
      <c r="E74" s="127" t="s">
        <v>390</v>
      </c>
      <c r="F74" s="127" t="s">
        <v>391</v>
      </c>
      <c r="G74" s="127" t="s">
        <v>352</v>
      </c>
      <c r="H74" s="130" t="s">
        <v>378</v>
      </c>
    </row>
    <row r="75" ht="28" spans="1:8">
      <c r="A75" s="203">
        <v>11</v>
      </c>
      <c r="B75" s="127" t="s">
        <v>392</v>
      </c>
      <c r="C75" s="127" t="s">
        <v>393</v>
      </c>
      <c r="D75" s="127" t="str">
        <f>HYPERLINK("https://github.com/brucemakeurname/AI-media-Agent/blob/main/PRODUCTION/.agents/skills/video-thumbnail/SKILL.md","Mở skill/source")</f>
        <v>Mở skill/source</v>
      </c>
      <c r="E75" s="127" t="s">
        <v>394</v>
      </c>
      <c r="F75" s="127" t="s">
        <v>395</v>
      </c>
      <c r="G75" s="127" t="s">
        <v>352</v>
      </c>
      <c r="H75" s="130" t="s">
        <v>123</v>
      </c>
    </row>
    <row r="76" ht="28" spans="1:8">
      <c r="A76" s="203">
        <v>12</v>
      </c>
      <c r="B76" s="127" t="s">
        <v>396</v>
      </c>
      <c r="C76" s="127" t="s">
        <v>397</v>
      </c>
      <c r="D76" s="127" t="str">
        <f>HYPERLINK("https://github.com/brucemakeurname/AI-media-Agent/blob/main/PRODUCTION/video_modules/flowkit/","Mở skill/source")</f>
        <v>Mở skill/source</v>
      </c>
      <c r="E76" s="127" t="s">
        <v>398</v>
      </c>
      <c r="F76" s="127" t="s">
        <v>399</v>
      </c>
      <c r="G76" s="127" t="s">
        <v>400</v>
      </c>
      <c r="H76" s="130" t="s">
        <v>123</v>
      </c>
    </row>
    <row r="77" ht="28" spans="1:8">
      <c r="A77" s="203">
        <v>13</v>
      </c>
      <c r="B77" s="127" t="s">
        <v>401</v>
      </c>
      <c r="C77" s="127" t="s">
        <v>402</v>
      </c>
      <c r="D77" s="127" t="str">
        <f>HYPERLINK("https://github.com/brucemakeurname/AI-media-Agent/blob/main/PRODUCTION/video_modules/flowkit/","Mở skill/source")</f>
        <v>Mở skill/source</v>
      </c>
      <c r="E77" s="127" t="s">
        <v>403</v>
      </c>
      <c r="F77" s="127" t="s">
        <v>399</v>
      </c>
      <c r="G77" s="127" t="s">
        <v>400</v>
      </c>
      <c r="H77" s="130" t="s">
        <v>123</v>
      </c>
    </row>
    <row r="78" ht="55" spans="1:8">
      <c r="A78" s="203">
        <v>14</v>
      </c>
      <c r="B78" s="127" t="s">
        <v>404</v>
      </c>
      <c r="C78" s="127" t="s">
        <v>405</v>
      </c>
      <c r="D78" s="127" t="str">
        <f>HYPERLINK("https://github.com/brucemakeurname/AI-media-Agent/blob/main/PRODUCTION/.agents/skills/flowkit-nano-banana-image-gen/SKILL.md","Mở skill/source")</f>
        <v>Mở skill/source</v>
      </c>
      <c r="E78" s="127" t="s">
        <v>406</v>
      </c>
      <c r="F78" s="127" t="s">
        <v>407</v>
      </c>
      <c r="G78" s="127" t="s">
        <v>352</v>
      </c>
      <c r="H78" s="130" t="s">
        <v>378</v>
      </c>
    </row>
    <row r="79" ht="28" spans="1:8">
      <c r="A79" s="203">
        <v>15</v>
      </c>
      <c r="B79" s="127" t="s">
        <v>408</v>
      </c>
      <c r="C79" s="127" t="s">
        <v>409</v>
      </c>
      <c r="D79" s="127" t="str">
        <f>HYPERLINK("https://github.com/brucemakeurname/AI-media-Agent/blob/main/PRODUCTION/video_modules/flowkit/","Mở skill/source")</f>
        <v>Mở skill/source</v>
      </c>
      <c r="E79" s="127" t="s">
        <v>410</v>
      </c>
      <c r="F79" s="127" t="s">
        <v>411</v>
      </c>
      <c r="G79" s="127" t="s">
        <v>400</v>
      </c>
      <c r="H79" s="130" t="s">
        <v>123</v>
      </c>
    </row>
    <row r="80" ht="28" spans="1:8">
      <c r="A80" s="203">
        <v>16</v>
      </c>
      <c r="B80" s="127" t="s">
        <v>412</v>
      </c>
      <c r="C80" s="127" t="s">
        <v>413</v>
      </c>
      <c r="D80" s="127" t="str">
        <f>HYPERLINK("https://github.com/brucemakeurname/AI-media-Agent/blob/main/PRODUCTION/video_modules/flowkit/","Mở skill/source")</f>
        <v>Mở skill/source</v>
      </c>
      <c r="E80" s="127" t="s">
        <v>414</v>
      </c>
      <c r="F80" s="127" t="s">
        <v>415</v>
      </c>
      <c r="G80" s="127" t="s">
        <v>400</v>
      </c>
      <c r="H80" s="130" t="s">
        <v>123</v>
      </c>
    </row>
    <row r="81" ht="28" spans="1:8">
      <c r="A81" s="203">
        <v>17</v>
      </c>
      <c r="B81" s="127" t="s">
        <v>416</v>
      </c>
      <c r="C81" s="127" t="s">
        <v>417</v>
      </c>
      <c r="D81" s="127" t="str">
        <f>HYPERLINK("https://github.com/brucemakeurname/AI-media-Agent/blob/main/PRODUCTION/.agents/skills/ffmpeg-upscale-video/SKILL.md","Mở skill/source")</f>
        <v>Mở skill/source</v>
      </c>
      <c r="E81" s="127" t="s">
        <v>418</v>
      </c>
      <c r="F81" s="127" t="s">
        <v>415</v>
      </c>
      <c r="G81" s="127" t="s">
        <v>352</v>
      </c>
      <c r="H81" s="130" t="s">
        <v>419</v>
      </c>
    </row>
    <row r="82" ht="41" spans="1:8">
      <c r="A82" s="203">
        <v>18</v>
      </c>
      <c r="B82" s="127" t="s">
        <v>420</v>
      </c>
      <c r="C82" s="127" t="s">
        <v>421</v>
      </c>
      <c r="D82" s="127" t="str">
        <f>HYPERLINK("https://github.com/brucemakeurname/AI-media-Agent/blob/main/PRODUCTION/.agents/skills/%5Bhtml-video%5D-post-production-qa-broll-overlay/SKILL.md","Mở skill/source")</f>
        <v>Mở skill/source</v>
      </c>
      <c r="E82" s="127" t="s">
        <v>422</v>
      </c>
      <c r="F82" s="127" t="s">
        <v>423</v>
      </c>
      <c r="G82" s="127" t="s">
        <v>352</v>
      </c>
      <c r="H82" s="130" t="s">
        <v>424</v>
      </c>
    </row>
    <row r="83" ht="28" spans="1:8">
      <c r="A83" s="203">
        <v>19</v>
      </c>
      <c r="B83" s="127" t="s">
        <v>425</v>
      </c>
      <c r="C83" s="127" t="s">
        <v>426</v>
      </c>
      <c r="D83" s="127" t="str">
        <f>HYPERLINK("https://github.com/brucemakeurname/AI-media-Agent/blob/main/PRODUCTION/.agents/skills/%5Bhtml-video%5D-subtitle-burn-talking-head/SKILL.md","Mở skill/source")</f>
        <v>Mở skill/source</v>
      </c>
      <c r="E83" s="127" t="s">
        <v>427</v>
      </c>
      <c r="F83" s="127" t="s">
        <v>415</v>
      </c>
      <c r="G83" s="127" t="s">
        <v>352</v>
      </c>
      <c r="H83" s="130" t="s">
        <v>419</v>
      </c>
    </row>
    <row r="84" ht="28" spans="1:8">
      <c r="A84" s="203">
        <v>20</v>
      </c>
      <c r="B84" s="127" t="s">
        <v>428</v>
      </c>
      <c r="C84" s="127" t="s">
        <v>429</v>
      </c>
      <c r="D84" s="127" t="str">
        <f>HYPERLINK("https://github.com/brucemakeurname/AI-media-Agent/blob/main/PRODUCTION/.agents/skills/%5Bhtml-video%5D-audio-mix/SKILL.md","Mở skill/source")</f>
        <v>Mở skill/source</v>
      </c>
      <c r="E84" s="127" t="s">
        <v>430</v>
      </c>
      <c r="F84" s="127" t="s">
        <v>415</v>
      </c>
      <c r="G84" s="127" t="s">
        <v>352</v>
      </c>
      <c r="H84" s="130" t="s">
        <v>419</v>
      </c>
    </row>
    <row r="85" spans="1:8">
      <c r="A85" s="203">
        <v>21</v>
      </c>
      <c r="B85" s="127" t="s">
        <v>431</v>
      </c>
      <c r="C85" s="127" t="s">
        <v>432</v>
      </c>
      <c r="D85" s="127" t="str">
        <f>HYPERLINK("https://github.com/brucemakeurname/AI-media-Agent/blob/main/PRODUCTION/.agents/skills/notion-upload/SKILL.md","Mở skill/source")</f>
        <v>Mở skill/source</v>
      </c>
      <c r="E85" s="127" t="s">
        <v>433</v>
      </c>
      <c r="F85" s="127" t="s">
        <v>195</v>
      </c>
      <c r="G85" s="127" t="s">
        <v>434</v>
      </c>
      <c r="H85" s="130" t="s">
        <v>102</v>
      </c>
    </row>
    <row r="86" ht="41" spans="1:8">
      <c r="A86" s="203">
        <v>22</v>
      </c>
      <c r="B86" s="127" t="s">
        <v>435</v>
      </c>
      <c r="C86" s="127" t="s">
        <v>436</v>
      </c>
      <c r="D86" s="127" t="str">
        <f>HYPERLINK("https://github.com/brucemakeurname/AI-media-Agent/blob/main/PRODUCTION/.agents/skills/gpt-img-2-gen/SKILL.md","Mở skill/source")</f>
        <v>Mở skill/source</v>
      </c>
      <c r="E86" s="127" t="s">
        <v>437</v>
      </c>
      <c r="F86" s="127" t="s">
        <v>391</v>
      </c>
      <c r="G86" s="127" t="s">
        <v>438</v>
      </c>
      <c r="H86" s="130" t="s">
        <v>439</v>
      </c>
    </row>
    <row r="87" spans="1:8">
      <c r="A87" s="203">
        <v>23</v>
      </c>
      <c r="B87" s="127" t="s">
        <v>440</v>
      </c>
      <c r="C87" s="127" t="s">
        <v>441</v>
      </c>
      <c r="D87" s="127" t="str">
        <f>HYPERLINK("https://github.com/brucemakeurname/AI-media-Agent/blob/main/PRODUCTION/.agents/skills/split-4-image/SKILL.md","Mở skill/source")</f>
        <v>Mở skill/source</v>
      </c>
      <c r="E87" s="127" t="s">
        <v>442</v>
      </c>
      <c r="F87" s="127" t="s">
        <v>443</v>
      </c>
      <c r="G87" s="127" t="s">
        <v>352</v>
      </c>
      <c r="H87" s="130" t="s">
        <v>314</v>
      </c>
    </row>
    <row r="88" spans="1:8">
      <c r="A88" s="203">
        <v>24</v>
      </c>
      <c r="B88" s="127" t="s">
        <v>166</v>
      </c>
      <c r="C88" s="127" t="s">
        <v>444</v>
      </c>
      <c r="D88" s="127" t="str">
        <f>HYPERLINK("https://github.com/brucemakeurname/AI-media-Agent/blob/main/PRODUCTION/.agents/skills/html-carousel-gen/SKILL.md","Mở skill/source")</f>
        <v>Mở skill/source</v>
      </c>
      <c r="E88" s="127" t="s">
        <v>445</v>
      </c>
      <c r="F88" s="127" t="s">
        <v>446</v>
      </c>
      <c r="G88" s="127" t="s">
        <v>352</v>
      </c>
      <c r="H88" s="130" t="s">
        <v>252</v>
      </c>
    </row>
    <row r="89" ht="28" spans="1:8">
      <c r="A89" s="203">
        <v>25</v>
      </c>
      <c r="B89" s="127" t="s">
        <v>447</v>
      </c>
      <c r="C89" s="127" t="s">
        <v>448</v>
      </c>
      <c r="D89" s="127" t="str">
        <f>HYPERLINK("https://github.com/brucemakeurname/AI-media-Agent/blob/main/PRODUCTION/.agents/skills/html-creative-direction/SKILL.md","Mở skill/source")</f>
        <v>Mở skill/source</v>
      </c>
      <c r="E89" s="127" t="s">
        <v>449</v>
      </c>
      <c r="F89" s="127" t="s">
        <v>450</v>
      </c>
      <c r="G89" s="127" t="s">
        <v>352</v>
      </c>
      <c r="H89" s="130" t="s">
        <v>165</v>
      </c>
    </row>
    <row r="90" spans="1:8">
      <c r="A90" s="203">
        <v>26</v>
      </c>
      <c r="B90" s="127" t="s">
        <v>174</v>
      </c>
      <c r="C90" s="127" t="s">
        <v>451</v>
      </c>
      <c r="D90" s="127" t="str">
        <f>HYPERLINK("https://github.com/brucemakeurname/AI-media-Agent/blob/main/PRODUCTION/.agents/skills/gemini-veo-3.1-video-gen/SKILL.md","Mở skill/source")</f>
        <v>Mở skill/source</v>
      </c>
      <c r="E90" s="127" t="s">
        <v>452</v>
      </c>
      <c r="F90" s="127" t="s">
        <v>453</v>
      </c>
      <c r="G90" s="127" t="s">
        <v>438</v>
      </c>
      <c r="H90" s="130" t="s">
        <v>173</v>
      </c>
    </row>
    <row r="91" spans="1:8">
      <c r="A91" s="203">
        <v>27</v>
      </c>
      <c r="B91" s="127" t="s">
        <v>454</v>
      </c>
      <c r="C91" s="127" t="s">
        <v>455</v>
      </c>
      <c r="D91" s="127" t="str">
        <f>HYPERLINK("https://github.com/brucemakeurname/AI-media-Agent/blob/main/PRODUCTION/.agents/skills/ai-timelapse-video/SKILL.md","Mở skill/source")</f>
        <v>Mở skill/source</v>
      </c>
      <c r="E91" s="127" t="s">
        <v>456</v>
      </c>
      <c r="F91" s="127" t="s">
        <v>457</v>
      </c>
      <c r="G91" s="127" t="s">
        <v>352</v>
      </c>
      <c r="H91" s="130" t="s">
        <v>173</v>
      </c>
    </row>
    <row r="92" spans="1:8">
      <c r="A92" s="203">
        <v>28</v>
      </c>
      <c r="B92" s="127" t="s">
        <v>458</v>
      </c>
      <c r="C92" s="127" t="s">
        <v>459</v>
      </c>
      <c r="D92" s="127" t="str">
        <f>HYPERLINK("https://github.com/brucemakeurname/AI-media-Agent/blob/main/PRODUCTION/.agents/skills/construction-sequence-brainstorm/SKILL.md","Mở skill/source")</f>
        <v>Mở skill/source</v>
      </c>
      <c r="E92" s="127" t="s">
        <v>460</v>
      </c>
      <c r="F92" s="127" t="s">
        <v>461</v>
      </c>
      <c r="G92" s="127" t="s">
        <v>352</v>
      </c>
      <c r="H92" s="130" t="s">
        <v>173</v>
      </c>
    </row>
    <row r="93" spans="1:8">
      <c r="A93" s="203">
        <v>29</v>
      </c>
      <c r="B93" s="127" t="s">
        <v>462</v>
      </c>
      <c r="C93" s="127" t="s">
        <v>463</v>
      </c>
      <c r="D93" s="127" t="str">
        <f>HYPERLINK("https://github.com/brucemakeurname/AI-media-Agent/blob/main/PRODUCTION/.agents/skills/write-ai-commercial-video-sequence-script/SKILL.md","Mở skill/source")</f>
        <v>Mở skill/source</v>
      </c>
      <c r="E93" s="127" t="s">
        <v>464</v>
      </c>
      <c r="F93" s="127" t="s">
        <v>465</v>
      </c>
      <c r="G93" s="127" t="s">
        <v>352</v>
      </c>
      <c r="H93" s="130" t="s">
        <v>218</v>
      </c>
    </row>
    <row r="94" spans="1:8">
      <c r="A94" s="203">
        <v>30</v>
      </c>
      <c r="B94" s="127" t="s">
        <v>466</v>
      </c>
      <c r="C94" s="127" t="s">
        <v>467</v>
      </c>
      <c r="D94" s="127" t="str">
        <f>HYPERLINK("https://github.com/brucemakeurname/AI-media-Agent/blob/main/PRODUCTION/.agents/skills/write-ai-timelapse-video-sequence-script/SKILL.md","Mở skill/source")</f>
        <v>Mở skill/source</v>
      </c>
      <c r="E94" s="127" t="s">
        <v>468</v>
      </c>
      <c r="F94" s="127" t="s">
        <v>457</v>
      </c>
      <c r="G94" s="127" t="s">
        <v>352</v>
      </c>
      <c r="H94" s="130" t="s">
        <v>173</v>
      </c>
    </row>
    <row r="95" ht="28" spans="1:8">
      <c r="A95" s="203">
        <v>31</v>
      </c>
      <c r="B95" s="127" t="s">
        <v>469</v>
      </c>
      <c r="C95" s="127" t="s">
        <v>470</v>
      </c>
      <c r="D95" s="127" t="str">
        <f>HYPERLINK("https://github.com/brucemakeurname/AI-media-Agent/blob/main/PRODUCTION/video_modules/talking-head-editing/","Mở skill/source")</f>
        <v>Mở skill/source</v>
      </c>
      <c r="E95" s="127" t="s">
        <v>471</v>
      </c>
      <c r="F95" s="127" t="s">
        <v>472</v>
      </c>
      <c r="G95" s="127" t="s">
        <v>473</v>
      </c>
      <c r="H95" s="130" t="s">
        <v>262</v>
      </c>
    </row>
    <row r="96" ht="28" spans="1:8">
      <c r="A96" s="203">
        <v>32</v>
      </c>
      <c r="B96" s="127" t="s">
        <v>474</v>
      </c>
      <c r="C96" s="127" t="s">
        <v>475</v>
      </c>
      <c r="D96" s="127" t="s">
        <v>476</v>
      </c>
      <c r="E96" s="127" t="s">
        <v>477</v>
      </c>
      <c r="F96" s="127" t="s">
        <v>478</v>
      </c>
      <c r="G96" s="127" t="s">
        <v>479</v>
      </c>
      <c r="H96" s="130" t="s">
        <v>295</v>
      </c>
    </row>
    <row r="97" ht="28" spans="1:20">
      <c r="A97" s="205">
        <v>33</v>
      </c>
      <c r="B97" s="131" t="s">
        <v>480</v>
      </c>
      <c r="C97" s="131" t="s">
        <v>481</v>
      </c>
      <c r="D97" s="131" t="s">
        <v>482</v>
      </c>
      <c r="E97" s="131" t="s">
        <v>483</v>
      </c>
      <c r="F97" s="131" t="s">
        <v>472</v>
      </c>
      <c r="G97" s="131" t="s">
        <v>484</v>
      </c>
      <c r="H97" s="132" t="s">
        <v>323</v>
      </c>
    </row>
    <row r="99" ht="17.6" spans="1:20">
      <c r="A99" s="211" t="s">
        <v>485</v>
      </c>
      <c r="B99" s="211"/>
      <c r="C99" s="211"/>
      <c r="D99" s="211"/>
      <c r="E99" s="211"/>
      <c r="F99" s="211"/>
      <c r="G99" s="211"/>
      <c r="H99" s="211"/>
      <c r="I99" s="211"/>
      <c r="J99" s="211"/>
      <c r="K99" s="211"/>
      <c r="L99" s="211"/>
      <c r="M99" s="211"/>
      <c r="N99" s="211"/>
      <c r="O99" s="211"/>
      <c r="P99" s="211"/>
      <c r="Q99" s="211"/>
      <c r="R99" s="211"/>
      <c r="S99" s="211"/>
      <c r="T99" s="211"/>
    </row>
    <row r="100" spans="1:20">
      <c r="A100" s="168"/>
      <c r="B100" s="168"/>
      <c r="C100" s="168"/>
      <c r="D100" s="168"/>
      <c r="E100" s="168"/>
      <c r="F100" s="168"/>
      <c r="G100" s="168"/>
      <c r="H100" s="168"/>
      <c r="I100" s="168"/>
    </row>
    <row r="101" spans="1:20">
      <c r="A101" s="212" t="s">
        <v>70</v>
      </c>
      <c r="B101" s="212" t="s">
        <v>486</v>
      </c>
      <c r="C101" s="212" t="s">
        <v>72</v>
      </c>
      <c r="D101" s="212" t="s">
        <v>73</v>
      </c>
      <c r="E101" s="212" t="s">
        <v>487</v>
      </c>
      <c r="F101" s="212" t="s">
        <v>75</v>
      </c>
      <c r="G101" s="212" t="s">
        <v>488</v>
      </c>
      <c r="H101" s="212" t="s">
        <v>77</v>
      </c>
      <c r="I101" s="212" t="s">
        <v>489</v>
      </c>
    </row>
    <row r="102" ht="28" spans="1:20">
      <c r="A102" s="210">
        <v>1</v>
      </c>
      <c r="B102" s="122" t="s">
        <v>80</v>
      </c>
      <c r="C102" s="122" t="s">
        <v>79</v>
      </c>
      <c r="D102" s="122" t="s">
        <v>81</v>
      </c>
      <c r="E102" s="122" t="s">
        <v>82</v>
      </c>
      <c r="F102" s="122" t="s">
        <v>83</v>
      </c>
      <c r="G102" s="122" t="s">
        <v>84</v>
      </c>
      <c r="H102" s="122" t="s">
        <v>85</v>
      </c>
      <c r="I102" s="125" t="s">
        <v>86</v>
      </c>
    </row>
    <row r="103" ht="28" spans="1:20">
      <c r="A103" s="203">
        <v>2</v>
      </c>
      <c r="B103" s="127" t="s">
        <v>88</v>
      </c>
      <c r="C103" s="127" t="s">
        <v>87</v>
      </c>
      <c r="D103" s="127" t="s">
        <v>89</v>
      </c>
      <c r="E103" s="127" t="s">
        <v>82</v>
      </c>
      <c r="F103" s="127" t="s">
        <v>90</v>
      </c>
      <c r="G103" s="127" t="s">
        <v>91</v>
      </c>
      <c r="H103" s="127" t="s">
        <v>85</v>
      </c>
      <c r="I103" s="130" t="s">
        <v>92</v>
      </c>
    </row>
    <row r="104" ht="28" spans="1:20">
      <c r="A104" s="203">
        <v>3</v>
      </c>
      <c r="B104" s="127" t="s">
        <v>93</v>
      </c>
      <c r="C104" s="127" t="s">
        <v>87</v>
      </c>
      <c r="D104" s="127" t="s">
        <v>94</v>
      </c>
      <c r="E104" s="127" t="s">
        <v>82</v>
      </c>
      <c r="F104" s="127" t="s">
        <v>90</v>
      </c>
      <c r="G104" s="127" t="s">
        <v>95</v>
      </c>
      <c r="H104" s="127" t="s">
        <v>96</v>
      </c>
      <c r="I104" s="130" t="s">
        <v>92</v>
      </c>
    </row>
    <row r="105" ht="28" spans="1:20">
      <c r="A105" s="203">
        <v>4</v>
      </c>
      <c r="B105" s="127" t="s">
        <v>98</v>
      </c>
      <c r="C105" s="127" t="s">
        <v>97</v>
      </c>
      <c r="D105" s="127" t="s">
        <v>99</v>
      </c>
      <c r="E105" s="127" t="s">
        <v>82</v>
      </c>
      <c r="F105" s="127" t="s">
        <v>100</v>
      </c>
      <c r="G105" s="127" t="s">
        <v>101</v>
      </c>
      <c r="H105" s="127" t="s">
        <v>102</v>
      </c>
      <c r="I105" s="130" t="s">
        <v>103</v>
      </c>
    </row>
    <row r="106" ht="28" spans="1:20">
      <c r="A106" s="203">
        <v>5</v>
      </c>
      <c r="B106" s="127" t="s">
        <v>105</v>
      </c>
      <c r="C106" s="127" t="s">
        <v>104</v>
      </c>
      <c r="D106" s="127" t="s">
        <v>106</v>
      </c>
      <c r="E106" s="127" t="s">
        <v>107</v>
      </c>
      <c r="F106" s="127" t="s">
        <v>108</v>
      </c>
      <c r="G106" s="127" t="s">
        <v>109</v>
      </c>
      <c r="H106" s="127" t="s">
        <v>110</v>
      </c>
      <c r="I106" s="130" t="s">
        <v>111</v>
      </c>
    </row>
    <row r="107" ht="28" spans="1:20">
      <c r="A107" s="203">
        <v>6</v>
      </c>
      <c r="B107" s="127" t="s">
        <v>112</v>
      </c>
      <c r="C107" s="127" t="s">
        <v>104</v>
      </c>
      <c r="D107" s="127" t="s">
        <v>113</v>
      </c>
      <c r="E107" s="127" t="s">
        <v>114</v>
      </c>
      <c r="F107" s="127" t="s">
        <v>115</v>
      </c>
      <c r="G107" s="127" t="s">
        <v>116</v>
      </c>
      <c r="H107" s="127" t="s">
        <v>110</v>
      </c>
      <c r="I107" s="130" t="s">
        <v>111</v>
      </c>
    </row>
    <row r="108" ht="28" spans="1:20">
      <c r="A108" s="203">
        <v>7</v>
      </c>
      <c r="B108" s="127" t="s">
        <v>118</v>
      </c>
      <c r="C108" s="127" t="s">
        <v>117</v>
      </c>
      <c r="D108" s="127" t="s">
        <v>119</v>
      </c>
      <c r="E108" s="127" t="s">
        <v>120</v>
      </c>
      <c r="F108" s="127" t="s">
        <v>121</v>
      </c>
      <c r="G108" s="127" t="s">
        <v>122</v>
      </c>
      <c r="H108" s="127" t="s">
        <v>123</v>
      </c>
      <c r="I108" s="130" t="s">
        <v>124</v>
      </c>
    </row>
    <row r="109" ht="28" spans="1:20">
      <c r="A109" s="203">
        <v>8</v>
      </c>
      <c r="B109" s="127" t="s">
        <v>128</v>
      </c>
      <c r="C109" s="127" t="s">
        <v>127</v>
      </c>
      <c r="D109" s="127" t="s">
        <v>129</v>
      </c>
      <c r="E109" s="127" t="s">
        <v>120</v>
      </c>
      <c r="F109" s="127" t="s">
        <v>130</v>
      </c>
      <c r="G109" s="127" t="s">
        <v>131</v>
      </c>
      <c r="H109" s="127" t="s">
        <v>123</v>
      </c>
      <c r="I109" s="130" t="s">
        <v>132</v>
      </c>
    </row>
    <row r="110" ht="28" spans="1:20">
      <c r="A110" s="203">
        <v>9</v>
      </c>
      <c r="B110" s="127" t="s">
        <v>135</v>
      </c>
      <c r="C110" s="127" t="s">
        <v>134</v>
      </c>
      <c r="D110" s="127" t="s">
        <v>136</v>
      </c>
      <c r="E110" s="127" t="s">
        <v>82</v>
      </c>
      <c r="F110" s="127" t="s">
        <v>137</v>
      </c>
      <c r="G110" s="127" t="s">
        <v>138</v>
      </c>
      <c r="H110" s="127" t="s">
        <v>139</v>
      </c>
      <c r="I110" s="130" t="s">
        <v>140</v>
      </c>
    </row>
    <row r="111" ht="28" spans="1:20">
      <c r="A111" s="203">
        <v>10</v>
      </c>
      <c r="B111" s="127" t="s">
        <v>143</v>
      </c>
      <c r="C111" s="127" t="s">
        <v>142</v>
      </c>
      <c r="D111" s="127" t="s">
        <v>144</v>
      </c>
      <c r="E111" s="127" t="s">
        <v>145</v>
      </c>
      <c r="F111" s="127" t="s">
        <v>146</v>
      </c>
      <c r="G111" s="127" t="s">
        <v>147</v>
      </c>
      <c r="H111" s="127" t="s">
        <v>110</v>
      </c>
      <c r="I111" s="130" t="s">
        <v>148</v>
      </c>
    </row>
    <row r="112" ht="28" spans="1:20">
      <c r="A112" s="203">
        <v>11</v>
      </c>
      <c r="B112" s="127" t="s">
        <v>151</v>
      </c>
      <c r="C112" s="127" t="s">
        <v>150</v>
      </c>
      <c r="D112" s="127" t="s">
        <v>152</v>
      </c>
      <c r="E112" s="127" t="s">
        <v>153</v>
      </c>
      <c r="F112" s="127" t="s">
        <v>154</v>
      </c>
      <c r="G112" s="127" t="s">
        <v>155</v>
      </c>
      <c r="H112" s="127" t="s">
        <v>156</v>
      </c>
      <c r="I112" s="130" t="s">
        <v>157</v>
      </c>
    </row>
    <row r="113" ht="28" spans="1:9">
      <c r="A113" s="203">
        <v>12</v>
      </c>
      <c r="B113" s="127" t="s">
        <v>160</v>
      </c>
      <c r="C113" s="127" t="s">
        <v>159</v>
      </c>
      <c r="D113" s="127" t="s">
        <v>161</v>
      </c>
      <c r="E113" s="127" t="s">
        <v>162</v>
      </c>
      <c r="F113" s="127" t="s">
        <v>163</v>
      </c>
      <c r="G113" s="127" t="s">
        <v>164</v>
      </c>
      <c r="H113" s="127" t="s">
        <v>165</v>
      </c>
      <c r="I113" s="130" t="s">
        <v>166</v>
      </c>
    </row>
    <row r="114" ht="28" spans="1:9">
      <c r="A114" s="203">
        <v>13</v>
      </c>
      <c r="B114" s="127" t="s">
        <v>168</v>
      </c>
      <c r="C114" s="127" t="s">
        <v>127</v>
      </c>
      <c r="D114" s="127" t="s">
        <v>169</v>
      </c>
      <c r="E114" s="127" t="s">
        <v>170</v>
      </c>
      <c r="F114" s="127" t="s">
        <v>171</v>
      </c>
      <c r="G114" s="127" t="s">
        <v>172</v>
      </c>
      <c r="H114" s="127" t="s">
        <v>173</v>
      </c>
      <c r="I114" s="130" t="s">
        <v>174</v>
      </c>
    </row>
    <row r="115" ht="41" spans="1:9">
      <c r="A115" s="203">
        <v>14</v>
      </c>
      <c r="B115" s="127" t="s">
        <v>490</v>
      </c>
      <c r="C115" s="127" t="s">
        <v>491</v>
      </c>
      <c r="D115" s="127" t="s">
        <v>492</v>
      </c>
      <c r="E115" s="127" t="s">
        <v>493</v>
      </c>
      <c r="F115" s="127" t="s">
        <v>171</v>
      </c>
      <c r="G115" s="127" t="s">
        <v>494</v>
      </c>
      <c r="H115" s="127" t="s">
        <v>439</v>
      </c>
      <c r="I115" s="130" t="s">
        <v>435</v>
      </c>
    </row>
    <row r="116" ht="28" spans="1:9">
      <c r="A116" s="205">
        <v>15</v>
      </c>
      <c r="B116" s="131" t="s">
        <v>495</v>
      </c>
      <c r="C116" s="131" t="s">
        <v>496</v>
      </c>
      <c r="D116" s="131" t="s">
        <v>497</v>
      </c>
      <c r="E116" s="131" t="s">
        <v>498</v>
      </c>
      <c r="F116" s="131" t="s">
        <v>499</v>
      </c>
      <c r="G116" s="131" t="s">
        <v>500</v>
      </c>
      <c r="H116" s="131" t="s">
        <v>419</v>
      </c>
      <c r="I116" s="132" t="s">
        <v>501</v>
      </c>
    </row>
  </sheetData>
  <mergeCells count="25">
    <mergeCell ref="A1:T1"/>
    <mergeCell ref="A2:T2"/>
    <mergeCell ref="A4:T4"/>
    <mergeCell ref="B10:T10"/>
    <mergeCell ref="B11:T11"/>
    <mergeCell ref="A13:T13"/>
    <mergeCell ref="A14:C14"/>
    <mergeCell ref="D14:F14"/>
    <mergeCell ref="G14:I14"/>
    <mergeCell ref="J14:L14"/>
    <mergeCell ref="M14:O14"/>
    <mergeCell ref="P14:R14"/>
    <mergeCell ref="S14:T14"/>
    <mergeCell ref="A15:C15"/>
    <mergeCell ref="D15:F15"/>
    <mergeCell ref="G15:I15"/>
    <mergeCell ref="J15:L15"/>
    <mergeCell ref="M15:O15"/>
    <mergeCell ref="P15:R15"/>
    <mergeCell ref="S15:T15"/>
    <mergeCell ref="A18:T18"/>
    <mergeCell ref="A28:T28"/>
    <mergeCell ref="A44:T44"/>
    <mergeCell ref="A62:T62"/>
    <mergeCell ref="A99:T99"/>
  </mergeCells>
  <conditionalFormatting sqref="E47:E60">
    <cfRule type="containsText" dxfId="0" priority="1" operator="between" text="Core complete">
      <formula>NOT(ISERROR(SEARCH("Core complete",E47)))</formula>
    </cfRule>
    <cfRule type="containsText" dxfId="1" priority="2" operator="between" text="Pending">
      <formula>NOT(ISERROR(SEARCH("Pending",E47)))</formula>
    </cfRule>
    <cfRule type="containsText" dxfId="2" priority="3" operator="between" text="Planned">
      <formula>NOT(ISERROR(SEARCH("Planned",E47)))</formula>
    </cfRule>
    <cfRule type="containsText" dxfId="3" priority="4" operator="between" text="Deferred">
      <formula>NOT(ISERROR(SEARCH("Deferred",E47)))</formula>
    </cfRule>
    <cfRule type="containsText" dxfId="4" priority="5" operator="between" text="Dropped">
      <formula>NOT(ISERROR(SEARCH("Dropped",E47)))</formula>
    </cfRule>
  </conditionalFormatting>
  <dataValidations count="3">
    <dataValidation type="list" sqref="E48:E60">
      <formula1>"Core complete / stabilize,Core complete / optimize,Pending,Planned,Deferred,Dropped"</formula1>
    </dataValidation>
    <dataValidation type="list" sqref="G47:G60">
      <formula1>"P0,P1,P2,P3"</formula1>
    </dataValidation>
    <dataValidation type="list" sqref="E31:F47">
      <formula1>"Required,Required for UGC stabilization,Target / fallback,Recommended,Optional"</formula1>
    </dataValidation>
  </dataValidations>
  <pageMargins left="0.7" right="0.7" top="0.75" bottom="0.75" header="0.3" footer="0.3"/>
  <headerFooter/>
  <drawing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8"/>
  <sheetViews>
    <sheetView showGridLines="0" topLeftCell="A28" workbookViewId="0">
      <selection activeCell="N39" sqref="N39"/>
    </sheetView>
  </sheetViews>
  <sheetFormatPr defaultColWidth="9" defaultRowHeight="16.8"/>
  <cols>
    <col min="1" max="1" width="13" customWidth="1"/>
    <col min="2" max="2" width="26.8382352941176" customWidth="1"/>
    <col min="3" max="4" width="31" customWidth="1"/>
    <col min="5" max="5" width="29" customWidth="1"/>
    <col min="6" max="6" width="23" customWidth="1"/>
    <col min="7" max="7" width="3" customWidth="1"/>
    <col min="8" max="14" width="17" customWidth="1"/>
  </cols>
  <sheetData>
    <row r="1" ht="23.2" spans="1:14">
      <c r="A1" s="1" t="s">
        <v>110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502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4">
      <c r="A4" s="3" t="s">
        <v>125</v>
      </c>
      <c r="B4" s="4" t="s">
        <v>133</v>
      </c>
      <c r="C4" s="5"/>
      <c r="D4" s="6" t="s">
        <v>503</v>
      </c>
      <c r="E4" s="7"/>
      <c r="G4" s="8" t="s">
        <v>504</v>
      </c>
      <c r="H4" s="9"/>
      <c r="I4" s="9"/>
      <c r="J4" s="9"/>
      <c r="K4" s="9"/>
      <c r="L4" s="9"/>
      <c r="M4" s="9"/>
      <c r="N4" s="10"/>
    </row>
    <row r="5" spans="1:14">
      <c r="A5" s="11" t="s">
        <v>178</v>
      </c>
      <c r="B5" s="12" t="s">
        <v>195</v>
      </c>
      <c r="C5" s="13"/>
      <c r="D5" s="14" t="s">
        <v>505</v>
      </c>
      <c r="E5" s="15" t="str">
        <f>HYPERLINK("#'Master'!A1","← Về Master")</f>
        <v>← Về Master</v>
      </c>
      <c r="G5" s="16"/>
      <c r="H5" s="17"/>
      <c r="I5" s="17"/>
      <c r="J5" s="17"/>
      <c r="K5" s="17"/>
      <c r="L5" s="17"/>
      <c r="M5" s="17"/>
      <c r="N5" s="18"/>
    </row>
    <row r="6" spans="1:14">
      <c r="A6" s="11" t="s">
        <v>179</v>
      </c>
      <c r="B6" s="12" t="s">
        <v>196</v>
      </c>
      <c r="C6" s="13"/>
      <c r="D6" s="14" t="s">
        <v>506</v>
      </c>
      <c r="E6" s="15" t="str">
        <f>HYPERLINK("https://github.com/brucemakeurname/AI-media-Agent/blob/main/PRODUCTION/goal/%5Bsocial%5D_%5Bai-ugc-short-video%5D.md","Mở goal trên repo")</f>
        <v>Mở goal trên repo</v>
      </c>
      <c r="G6" s="16"/>
      <c r="H6" s="17"/>
      <c r="I6" s="17"/>
      <c r="J6" s="17"/>
      <c r="K6" s="17"/>
      <c r="L6" s="17"/>
      <c r="M6" s="17"/>
      <c r="N6" s="18"/>
    </row>
    <row r="7" spans="1:14">
      <c r="A7" s="11" t="s">
        <v>182</v>
      </c>
      <c r="B7" s="19">
        <v>46237</v>
      </c>
      <c r="C7" s="13"/>
      <c r="D7" s="14" t="s">
        <v>507</v>
      </c>
      <c r="E7" s="15" t="str">
        <f>HYPERLINK("file:///Users/test/Documents/AI Media/Hoài Nam/INFRA/DOCS/AI-VIDEO-CREATIVE-WORKFLOWS/AI-VIDEO-CREATIVE-WORKFLOW-DIAGRAM.png","Mở demo/diagram")</f>
        <v>Mở demo/diagram</v>
      </c>
      <c r="G7" s="16"/>
      <c r="H7" s="17"/>
      <c r="I7" s="17"/>
      <c r="J7" s="17"/>
      <c r="K7" s="17"/>
      <c r="L7" s="17"/>
      <c r="M7" s="17"/>
      <c r="N7" s="18"/>
    </row>
    <row r="8" spans="1:14">
      <c r="A8" s="11" t="s">
        <v>183</v>
      </c>
      <c r="B8" s="19"/>
      <c r="C8" s="13"/>
      <c r="D8" s="14" t="s">
        <v>508</v>
      </c>
      <c r="E8" s="15" t="str">
        <f>HYPERLINK("https://github.com/brucemakeurname/AI-media-Agent/blob/main/DOCS/AI-VIDEO-CREATIVE-WORKFLOWS/HDSD.md","Mở HDSD/source")</f>
        <v>Mở HDSD/source</v>
      </c>
      <c r="G8" s="16"/>
      <c r="H8" s="17"/>
      <c r="I8" s="17"/>
      <c r="J8" s="17"/>
      <c r="K8" s="17"/>
      <c r="L8" s="17"/>
      <c r="M8" s="17"/>
      <c r="N8" s="18"/>
    </row>
    <row r="9" ht="28" spans="1:14">
      <c r="A9" s="11" t="s">
        <v>189</v>
      </c>
      <c r="B9" s="12" t="s">
        <v>202</v>
      </c>
      <c r="C9" s="13"/>
      <c r="D9" s="13"/>
      <c r="E9" s="20"/>
      <c r="G9" s="16"/>
      <c r="H9" s="17"/>
      <c r="I9" s="17"/>
      <c r="J9" s="17"/>
      <c r="K9" s="17"/>
      <c r="L9" s="17"/>
      <c r="M9" s="17"/>
      <c r="N9" s="18"/>
    </row>
    <row r="10" ht="28" spans="1:14">
      <c r="A10" s="11" t="s">
        <v>185</v>
      </c>
      <c r="B10" s="12" t="s">
        <v>509</v>
      </c>
      <c r="C10" s="13"/>
      <c r="D10" s="13"/>
      <c r="E10" s="20"/>
      <c r="G10" s="16"/>
      <c r="H10" s="17"/>
      <c r="I10" s="17"/>
      <c r="J10" s="17"/>
      <c r="K10" s="17"/>
      <c r="L10" s="17"/>
      <c r="M10" s="17"/>
      <c r="N10" s="18"/>
    </row>
    <row r="11" ht="28" spans="1:14">
      <c r="A11" s="11" t="s">
        <v>510</v>
      </c>
      <c r="B11" s="12" t="s">
        <v>193</v>
      </c>
      <c r="C11" s="13"/>
      <c r="D11" s="13"/>
      <c r="E11" s="20"/>
      <c r="G11" s="16"/>
      <c r="H11" s="17"/>
      <c r="I11" s="17"/>
      <c r="J11" s="17"/>
      <c r="K11" s="17"/>
      <c r="L11" s="17"/>
      <c r="M11" s="17"/>
      <c r="N11" s="18"/>
    </row>
    <row r="12" ht="41" spans="1:14">
      <c r="A12" s="11" t="s">
        <v>511</v>
      </c>
      <c r="B12" s="12" t="s">
        <v>512</v>
      </c>
      <c r="C12" s="13"/>
      <c r="D12" s="13"/>
      <c r="E12" s="20"/>
      <c r="G12" s="16"/>
      <c r="H12" s="17"/>
      <c r="I12" s="17"/>
      <c r="J12" s="17"/>
      <c r="K12" s="17"/>
      <c r="L12" s="17"/>
      <c r="M12" s="17"/>
      <c r="N12" s="18"/>
    </row>
    <row r="13" ht="41" spans="1:14">
      <c r="A13" s="11" t="s">
        <v>513</v>
      </c>
      <c r="B13" s="12" t="s">
        <v>201</v>
      </c>
      <c r="C13" s="13"/>
      <c r="D13" s="13"/>
      <c r="E13" s="20"/>
      <c r="G13" s="16"/>
      <c r="H13" s="17"/>
      <c r="I13" s="17"/>
      <c r="J13" s="17"/>
      <c r="K13" s="17"/>
      <c r="L13" s="17"/>
      <c r="M13" s="17"/>
      <c r="N13" s="18"/>
    </row>
    <row r="14" spans="1:14">
      <c r="A14" s="21" t="s">
        <v>190</v>
      </c>
      <c r="B14" s="22" t="s">
        <v>203</v>
      </c>
      <c r="C14" s="23"/>
      <c r="D14" s="23"/>
      <c r="E14" s="24"/>
      <c r="G14" s="25"/>
      <c r="H14" s="26"/>
      <c r="I14" s="26"/>
      <c r="J14" s="26"/>
      <c r="K14" s="26"/>
      <c r="L14" s="26"/>
      <c r="M14" s="26"/>
      <c r="N14" s="27"/>
    </row>
    <row r="16" ht="17.6" spans="1:14">
      <c r="A16" s="28" t="s">
        <v>514</v>
      </c>
      <c r="B16" s="28"/>
      <c r="C16" s="28"/>
      <c r="D16" s="28"/>
      <c r="E16" s="28"/>
      <c r="F16" s="28"/>
      <c r="G16" s="29"/>
      <c r="H16" s="43" t="s">
        <v>515</v>
      </c>
      <c r="I16" s="43"/>
      <c r="J16" s="43"/>
      <c r="K16" s="43"/>
      <c r="L16" s="43"/>
      <c r="M16" s="43"/>
      <c r="N16" s="43"/>
    </row>
    <row r="17" spans="1:6">
      <c r="A17" s="30" t="s">
        <v>516</v>
      </c>
      <c r="B17" s="30" t="s">
        <v>517</v>
      </c>
      <c r="C17" s="30" t="s">
        <v>518</v>
      </c>
      <c r="D17" s="30" t="s">
        <v>519</v>
      </c>
      <c r="E17" s="30" t="s">
        <v>520</v>
      </c>
      <c r="F17" s="30" t="s">
        <v>521</v>
      </c>
    </row>
    <row r="18" ht="28" spans="1:6">
      <c r="A18" s="31">
        <v>1</v>
      </c>
      <c r="B18" s="32" t="s">
        <v>522</v>
      </c>
      <c r="C18" s="32" t="s">
        <v>523</v>
      </c>
      <c r="D18" s="32" t="s">
        <v>348</v>
      </c>
      <c r="E18" s="32" t="s">
        <v>524</v>
      </c>
      <c r="F18" s="33" t="s">
        <v>525</v>
      </c>
    </row>
    <row r="19" spans="1:6">
      <c r="A19" s="34">
        <v>2</v>
      </c>
      <c r="B19" s="35" t="s">
        <v>526</v>
      </c>
      <c r="C19" s="35" t="s">
        <v>527</v>
      </c>
      <c r="D19" s="35" t="s">
        <v>124</v>
      </c>
      <c r="E19" s="35" t="s">
        <v>524</v>
      </c>
      <c r="F19" s="36" t="s">
        <v>525</v>
      </c>
    </row>
    <row r="20" spans="1:6">
      <c r="A20" s="37">
        <v>3</v>
      </c>
      <c r="B20" s="38" t="s">
        <v>528</v>
      </c>
      <c r="C20" s="38" t="s">
        <v>527</v>
      </c>
      <c r="D20" s="38" t="s">
        <v>361</v>
      </c>
      <c r="E20" s="38" t="s">
        <v>524</v>
      </c>
      <c r="F20" s="39" t="s">
        <v>525</v>
      </c>
    </row>
    <row r="21" ht="28" spans="1:6">
      <c r="A21" s="34">
        <v>4</v>
      </c>
      <c r="B21" s="35" t="s">
        <v>529</v>
      </c>
      <c r="C21" s="35" t="s">
        <v>527</v>
      </c>
      <c r="D21" s="35" t="s">
        <v>366</v>
      </c>
      <c r="E21" s="35" t="s">
        <v>524</v>
      </c>
      <c r="F21" s="36" t="s">
        <v>525</v>
      </c>
    </row>
    <row r="22" ht="28" spans="1:6">
      <c r="A22" s="37">
        <v>5</v>
      </c>
      <c r="B22" s="38" t="s">
        <v>530</v>
      </c>
      <c r="C22" s="38" t="s">
        <v>527</v>
      </c>
      <c r="D22" s="38" t="s">
        <v>531</v>
      </c>
      <c r="E22" s="38" t="s">
        <v>524</v>
      </c>
      <c r="F22" s="39" t="s">
        <v>525</v>
      </c>
    </row>
    <row r="23" ht="28" spans="1:6">
      <c r="A23" s="40">
        <v>6</v>
      </c>
      <c r="B23" s="41" t="s">
        <v>532</v>
      </c>
      <c r="C23" s="41" t="s">
        <v>527</v>
      </c>
      <c r="D23" s="41" t="s">
        <v>143</v>
      </c>
      <c r="E23" s="41" t="s">
        <v>533</v>
      </c>
      <c r="F23" s="42" t="s">
        <v>534</v>
      </c>
    </row>
    <row r="35" ht="17.6" spans="1:14">
      <c r="A35" s="44" t="s">
        <v>535</v>
      </c>
      <c r="B35" s="44"/>
      <c r="C35" s="44"/>
      <c r="D35" s="44"/>
      <c r="E35" s="44"/>
      <c r="F35" s="29"/>
      <c r="G35" s="29"/>
      <c r="H35" s="29"/>
      <c r="I35" s="29"/>
      <c r="J35" s="29"/>
      <c r="K35" s="29"/>
      <c r="L35" s="29"/>
      <c r="M35" s="29"/>
      <c r="N35" s="29"/>
    </row>
    <row r="36" spans="1:14">
      <c r="A36" s="45" t="s">
        <v>516</v>
      </c>
      <c r="B36" s="45" t="s">
        <v>536</v>
      </c>
      <c r="C36" s="45" t="s">
        <v>518</v>
      </c>
      <c r="D36" s="45" t="s">
        <v>537</v>
      </c>
      <c r="E36" s="45" t="s">
        <v>42</v>
      </c>
    </row>
    <row r="37" ht="28" spans="1:14">
      <c r="A37" s="46" t="s">
        <v>538</v>
      </c>
      <c r="B37" s="4" t="s">
        <v>539</v>
      </c>
      <c r="C37" s="4" t="s">
        <v>540</v>
      </c>
      <c r="D37" s="4" t="s">
        <v>541</v>
      </c>
      <c r="E37" s="47" t="s">
        <v>542</v>
      </c>
    </row>
    <row r="38" spans="1:14">
      <c r="A38" s="48" t="s">
        <v>543</v>
      </c>
      <c r="B38" s="12" t="s">
        <v>544</v>
      </c>
      <c r="C38" s="12" t="s">
        <v>545</v>
      </c>
      <c r="D38" s="12" t="s">
        <v>546</v>
      </c>
      <c r="E38" s="49" t="s">
        <v>542</v>
      </c>
    </row>
    <row r="39" ht="28" spans="1:14">
      <c r="A39" s="48" t="s">
        <v>547</v>
      </c>
      <c r="B39" s="12" t="s">
        <v>548</v>
      </c>
      <c r="C39" s="12" t="s">
        <v>549</v>
      </c>
      <c r="D39" s="12" t="s">
        <v>550</v>
      </c>
      <c r="E39" s="49" t="s">
        <v>551</v>
      </c>
    </row>
    <row r="40" spans="1:14">
      <c r="A40" s="48" t="s">
        <v>552</v>
      </c>
      <c r="B40" s="12" t="s">
        <v>553</v>
      </c>
      <c r="C40" s="12" t="s">
        <v>554</v>
      </c>
      <c r="D40" s="12" t="s">
        <v>555</v>
      </c>
      <c r="E40" s="49" t="s">
        <v>556</v>
      </c>
    </row>
    <row r="41" ht="28" spans="1:14">
      <c r="A41" s="50" t="s">
        <v>557</v>
      </c>
      <c r="B41" s="22" t="s">
        <v>558</v>
      </c>
      <c r="C41" s="22" t="s">
        <v>559</v>
      </c>
      <c r="D41" s="22" t="s">
        <v>560</v>
      </c>
      <c r="E41" s="51" t="s">
        <v>561</v>
      </c>
    </row>
    <row r="45" ht="17.6" spans="1:14">
      <c r="A45" s="52" t="s">
        <v>562</v>
      </c>
      <c r="B45" s="52"/>
      <c r="C45" s="52"/>
      <c r="D45" s="52"/>
      <c r="E45" s="52"/>
      <c r="F45" s="29"/>
      <c r="G45" s="29"/>
      <c r="H45" s="29"/>
      <c r="I45" s="29"/>
      <c r="J45" s="29"/>
      <c r="K45" s="29"/>
      <c r="L45" s="29"/>
      <c r="M45" s="29"/>
      <c r="N45" s="29"/>
    </row>
    <row r="46" spans="1:14">
      <c r="A46" s="53" t="s">
        <v>563</v>
      </c>
      <c r="B46" s="53" t="s">
        <v>564</v>
      </c>
      <c r="C46" s="53" t="s">
        <v>565</v>
      </c>
      <c r="D46" s="53" t="s">
        <v>566</v>
      </c>
      <c r="E46" s="53" t="s">
        <v>567</v>
      </c>
      <c r="F46" s="81"/>
      <c r="G46" s="81"/>
      <c r="H46" s="81"/>
      <c r="I46" s="81"/>
      <c r="J46" s="81"/>
      <c r="K46" s="81"/>
      <c r="L46" s="81"/>
      <c r="M46" s="81"/>
      <c r="N46" s="81"/>
    </row>
    <row r="47" ht="28" spans="1:14">
      <c r="A47" s="46" t="s">
        <v>568</v>
      </c>
      <c r="B47" s="4" t="s">
        <v>569</v>
      </c>
      <c r="C47" s="4" t="s">
        <v>570</v>
      </c>
      <c r="D47" s="4" t="s">
        <v>571</v>
      </c>
      <c r="E47" s="47" t="s">
        <v>572</v>
      </c>
      <c r="F47" s="81"/>
      <c r="G47" s="81"/>
      <c r="H47" s="81"/>
      <c r="I47" s="81"/>
      <c r="J47" s="81"/>
      <c r="K47" s="81"/>
      <c r="L47" s="81"/>
      <c r="M47" s="81"/>
      <c r="N47" s="81"/>
    </row>
    <row r="48" ht="28" spans="1:14">
      <c r="A48" s="48" t="s">
        <v>573</v>
      </c>
      <c r="B48" s="12" t="s">
        <v>574</v>
      </c>
      <c r="C48" s="12" t="s">
        <v>575</v>
      </c>
      <c r="D48" s="12" t="s">
        <v>576</v>
      </c>
      <c r="E48" s="49" t="s">
        <v>577</v>
      </c>
      <c r="F48" s="81"/>
      <c r="G48" s="81"/>
      <c r="H48" s="81"/>
      <c r="I48" s="81"/>
      <c r="J48" s="81"/>
      <c r="K48" s="81"/>
      <c r="L48" s="81"/>
      <c r="M48" s="81"/>
      <c r="N48" s="81"/>
    </row>
    <row r="49" ht="28" spans="1:15">
      <c r="A49" s="48" t="s">
        <v>578</v>
      </c>
      <c r="B49" s="12" t="s">
        <v>579</v>
      </c>
      <c r="C49" s="12" t="s">
        <v>580</v>
      </c>
      <c r="D49" s="12" t="s">
        <v>581</v>
      </c>
      <c r="E49" s="49" t="s">
        <v>582</v>
      </c>
      <c r="F49" s="81"/>
      <c r="G49" s="81"/>
      <c r="H49" s="81"/>
      <c r="I49" s="81"/>
      <c r="J49" s="81"/>
      <c r="K49" s="81"/>
      <c r="L49" s="81"/>
      <c r="M49" s="81"/>
      <c r="N49" s="81"/>
    </row>
    <row r="50" ht="28" spans="1:15">
      <c r="A50" s="50" t="s">
        <v>583</v>
      </c>
      <c r="B50" s="22" t="s">
        <v>584</v>
      </c>
      <c r="C50" s="22" t="s">
        <v>585</v>
      </c>
      <c r="D50" s="22" t="s">
        <v>586</v>
      </c>
      <c r="E50" s="51" t="s">
        <v>587</v>
      </c>
      <c r="F50" s="81"/>
      <c r="G50" s="81"/>
      <c r="H50" s="81"/>
      <c r="I50" s="81"/>
      <c r="J50" s="81"/>
      <c r="K50" s="81"/>
      <c r="L50" s="81"/>
      <c r="M50" s="81"/>
      <c r="N50" s="81"/>
    </row>
    <row r="51" spans="1:15">
      <c r="F51" s="81"/>
      <c r="G51" s="81"/>
      <c r="H51" s="81"/>
      <c r="I51" s="81"/>
      <c r="J51" s="81"/>
      <c r="K51" s="81"/>
      <c r="L51" s="81"/>
      <c r="M51" s="81"/>
      <c r="N51" s="81"/>
    </row>
    <row r="52" spans="1:15">
      <c r="F52" s="81"/>
      <c r="G52" s="81"/>
      <c r="H52" s="81"/>
      <c r="I52" s="81"/>
      <c r="J52" s="81"/>
      <c r="K52" s="81"/>
      <c r="L52" s="81"/>
      <c r="M52" s="81"/>
      <c r="N52" s="81"/>
    </row>
    <row r="53" ht="17.6" spans="1:15">
      <c r="A53" s="54" t="s">
        <v>588</v>
      </c>
      <c r="B53" s="54"/>
      <c r="C53" s="54"/>
      <c r="D53" s="54"/>
      <c r="E53" s="29"/>
      <c r="F53" s="29"/>
      <c r="G53" s="29"/>
      <c r="H53" s="29"/>
      <c r="I53" s="29"/>
      <c r="J53" s="29"/>
      <c r="K53" s="29"/>
      <c r="L53" s="29"/>
      <c r="M53" s="29"/>
      <c r="N53" s="29"/>
    </row>
    <row r="54" spans="1:15">
      <c r="A54" s="55" t="s">
        <v>186</v>
      </c>
      <c r="B54" s="55" t="s">
        <v>187</v>
      </c>
      <c r="C54" s="55" t="s">
        <v>589</v>
      </c>
      <c r="D54" s="55" t="s">
        <v>590</v>
      </c>
      <c r="F54" s="81"/>
      <c r="G54" s="81"/>
      <c r="H54" s="81"/>
      <c r="I54" s="81"/>
      <c r="J54" s="81"/>
      <c r="K54" s="81"/>
      <c r="L54" s="81"/>
      <c r="M54" s="81"/>
      <c r="N54" s="81"/>
    </row>
    <row r="55" ht="109" spans="1:15">
      <c r="A55" s="56" t="s">
        <v>199</v>
      </c>
      <c r="B55" s="57" t="s">
        <v>200</v>
      </c>
      <c r="C55" s="57" t="s">
        <v>203</v>
      </c>
      <c r="D55" s="58" t="s">
        <v>201</v>
      </c>
      <c r="F55" s="81"/>
      <c r="G55" s="114"/>
      <c r="H55" s="114"/>
      <c r="I55" s="114"/>
      <c r="J55" s="114"/>
      <c r="K55" s="114"/>
      <c r="L55" s="114"/>
      <c r="M55" s="114"/>
      <c r="N55" s="114"/>
      <c r="O55" s="114"/>
    </row>
    <row r="56" spans="1:15">
      <c r="G56" s="114"/>
      <c r="H56" s="114"/>
      <c r="I56" s="114"/>
      <c r="J56" s="114"/>
      <c r="K56" s="114"/>
      <c r="L56" s="114"/>
      <c r="M56" s="114"/>
      <c r="N56" s="114"/>
      <c r="O56" s="114"/>
    </row>
    <row r="57" spans="1:15">
      <c r="A57" s="60" t="s">
        <v>591</v>
      </c>
      <c r="B57" s="60"/>
      <c r="C57" s="60"/>
      <c r="D57" s="60"/>
      <c r="E57" s="60"/>
      <c r="F57" s="60"/>
      <c r="G57" s="61"/>
      <c r="H57" s="61"/>
      <c r="I57" s="61"/>
      <c r="J57" s="61"/>
      <c r="K57" s="61"/>
      <c r="L57" s="61"/>
      <c r="M57" s="61"/>
      <c r="N57" s="61"/>
      <c r="O57" s="114"/>
    </row>
    <row r="58" spans="1:15">
      <c r="A58" s="115"/>
      <c r="B58" s="115"/>
      <c r="C58" s="115"/>
      <c r="D58" s="115"/>
      <c r="E58" s="115"/>
      <c r="F58" s="115"/>
      <c r="G58" s="61"/>
      <c r="H58" s="61"/>
      <c r="I58" s="61"/>
      <c r="J58" s="61"/>
      <c r="K58" s="61"/>
      <c r="L58" s="61"/>
      <c r="M58" s="61"/>
      <c r="N58" s="61"/>
      <c r="O58" s="114"/>
    </row>
    <row r="59" spans="1:15">
      <c r="A59" s="115"/>
      <c r="B59" s="115"/>
      <c r="C59" s="115"/>
      <c r="D59" s="115"/>
      <c r="E59" s="115"/>
      <c r="F59" s="115"/>
      <c r="G59" s="114"/>
      <c r="H59" s="114"/>
      <c r="I59" s="114"/>
      <c r="J59" s="114"/>
      <c r="K59" s="114"/>
      <c r="L59" s="114"/>
      <c r="M59" s="114"/>
      <c r="N59" s="114"/>
      <c r="O59" s="114"/>
    </row>
    <row r="60" ht="17.6" spans="1:15">
      <c r="A60" s="44" t="s">
        <v>592</v>
      </c>
      <c r="B60" s="44"/>
      <c r="C60" s="44"/>
      <c r="D60" s="44"/>
      <c r="E60" s="44"/>
      <c r="F60" s="44"/>
      <c r="G60" s="29"/>
      <c r="H60" s="29"/>
      <c r="I60" s="29"/>
      <c r="J60" s="29"/>
      <c r="K60" s="29"/>
      <c r="L60" s="29"/>
      <c r="M60" s="29"/>
      <c r="N60" s="29"/>
    </row>
    <row r="61" spans="1:15">
      <c r="A61" s="64" t="s">
        <v>70</v>
      </c>
      <c r="B61" s="64" t="s">
        <v>593</v>
      </c>
      <c r="C61" s="64" t="s">
        <v>594</v>
      </c>
      <c r="D61" s="64" t="s">
        <v>595</v>
      </c>
      <c r="E61" s="64" t="s">
        <v>596</v>
      </c>
      <c r="F61" s="64" t="s">
        <v>597</v>
      </c>
    </row>
    <row r="62" ht="41" spans="1:15">
      <c r="A62" s="65">
        <v>1</v>
      </c>
      <c r="B62" s="4" t="s">
        <v>598</v>
      </c>
      <c r="C62" s="4" t="s">
        <v>599</v>
      </c>
      <c r="D62" s="4" t="s">
        <v>600</v>
      </c>
      <c r="E62" s="4" t="s">
        <v>601</v>
      </c>
      <c r="F62" s="47" t="s">
        <v>602</v>
      </c>
    </row>
    <row r="63" ht="28" spans="1:15">
      <c r="A63" s="66">
        <v>2</v>
      </c>
      <c r="B63" s="12" t="s">
        <v>603</v>
      </c>
      <c r="C63" s="12" t="s">
        <v>604</v>
      </c>
      <c r="D63" s="12" t="s">
        <v>605</v>
      </c>
      <c r="E63" s="12" t="s">
        <v>606</v>
      </c>
      <c r="F63" s="49" t="s">
        <v>607</v>
      </c>
    </row>
    <row r="64" ht="28" spans="1:15">
      <c r="A64" s="66">
        <v>3</v>
      </c>
      <c r="B64" s="12" t="s">
        <v>608</v>
      </c>
      <c r="C64" s="12" t="s">
        <v>609</v>
      </c>
      <c r="D64" s="12" t="s">
        <v>610</v>
      </c>
      <c r="E64" s="12" t="s">
        <v>611</v>
      </c>
      <c r="F64" s="49" t="s">
        <v>612</v>
      </c>
    </row>
    <row r="65" ht="28" spans="1:14">
      <c r="A65" s="66">
        <v>4</v>
      </c>
      <c r="B65" s="12" t="s">
        <v>613</v>
      </c>
      <c r="C65" s="12" t="s">
        <v>614</v>
      </c>
      <c r="D65" s="12" t="s">
        <v>615</v>
      </c>
      <c r="E65" s="12" t="s">
        <v>616</v>
      </c>
      <c r="F65" s="49" t="s">
        <v>617</v>
      </c>
    </row>
    <row r="66" ht="28" spans="1:14">
      <c r="A66" s="67">
        <v>5</v>
      </c>
      <c r="B66" s="22" t="s">
        <v>618</v>
      </c>
      <c r="C66" s="22" t="s">
        <v>619</v>
      </c>
      <c r="D66" s="22" t="s">
        <v>620</v>
      </c>
      <c r="E66" s="22" t="s">
        <v>621</v>
      </c>
      <c r="F66" s="51" t="s">
        <v>622</v>
      </c>
    </row>
    <row r="69" ht="17.6" spans="1:14">
      <c r="A69" s="52" t="s">
        <v>623</v>
      </c>
      <c r="B69" s="52"/>
      <c r="C69" s="52"/>
      <c r="D69" s="52"/>
      <c r="E69" s="52"/>
      <c r="F69" s="52"/>
      <c r="G69" s="29"/>
      <c r="H69" s="29"/>
      <c r="I69" s="29"/>
      <c r="J69" s="29"/>
      <c r="K69" s="29"/>
      <c r="L69" s="29"/>
      <c r="M69" s="29"/>
      <c r="N69" s="29"/>
    </row>
    <row r="70" spans="1:14">
      <c r="A70" s="68" t="s">
        <v>70</v>
      </c>
      <c r="B70" s="68" t="s">
        <v>624</v>
      </c>
      <c r="C70" s="68" t="s">
        <v>625</v>
      </c>
      <c r="D70" s="68" t="s">
        <v>626</v>
      </c>
      <c r="E70" s="68" t="s">
        <v>627</v>
      </c>
      <c r="F70" s="68" t="s">
        <v>628</v>
      </c>
    </row>
    <row r="71" ht="28" spans="1:14">
      <c r="A71" s="65">
        <v>1</v>
      </c>
      <c r="B71" s="4" t="s">
        <v>629</v>
      </c>
      <c r="C71" s="4" t="s">
        <v>630</v>
      </c>
      <c r="D71" s="4" t="s">
        <v>631</v>
      </c>
      <c r="E71" s="4" t="s">
        <v>632</v>
      </c>
      <c r="F71" s="47" t="s">
        <v>633</v>
      </c>
    </row>
    <row r="72" ht="28" spans="1:14">
      <c r="A72" s="66">
        <v>2</v>
      </c>
      <c r="B72" s="12" t="s">
        <v>634</v>
      </c>
      <c r="C72" s="12" t="s">
        <v>635</v>
      </c>
      <c r="D72" s="12" t="s">
        <v>636</v>
      </c>
      <c r="E72" s="12" t="s">
        <v>637</v>
      </c>
      <c r="F72" s="49" t="s">
        <v>638</v>
      </c>
    </row>
    <row r="73" ht="28" spans="1:14">
      <c r="A73" s="66">
        <v>3</v>
      </c>
      <c r="B73" s="12" t="s">
        <v>639</v>
      </c>
      <c r="C73" s="12" t="s">
        <v>640</v>
      </c>
      <c r="D73" s="12" t="s">
        <v>641</v>
      </c>
      <c r="E73" s="12" t="s">
        <v>642</v>
      </c>
      <c r="F73" s="49" t="s">
        <v>643</v>
      </c>
    </row>
    <row r="74" ht="28" spans="1:14">
      <c r="A74" s="66">
        <v>4</v>
      </c>
      <c r="B74" s="12" t="s">
        <v>644</v>
      </c>
      <c r="C74" s="12" t="s">
        <v>645</v>
      </c>
      <c r="D74" s="12" t="s">
        <v>646</v>
      </c>
      <c r="E74" s="12" t="s">
        <v>647</v>
      </c>
      <c r="F74" s="49" t="s">
        <v>648</v>
      </c>
    </row>
    <row r="75" spans="1:14">
      <c r="A75" s="67">
        <v>5</v>
      </c>
      <c r="B75" s="22" t="s">
        <v>649</v>
      </c>
      <c r="C75" s="22" t="s">
        <v>650</v>
      </c>
      <c r="D75" s="22" t="s">
        <v>651</v>
      </c>
      <c r="E75" s="22" t="s">
        <v>652</v>
      </c>
      <c r="F75" s="51" t="s">
        <v>653</v>
      </c>
    </row>
    <row r="77" spans="1:14">
      <c r="A77" s="69" t="s">
        <v>654</v>
      </c>
      <c r="B77" s="70"/>
      <c r="C77" s="70"/>
      <c r="D77" s="70"/>
      <c r="E77" s="70"/>
      <c r="F77" s="70"/>
      <c r="G77" s="71"/>
      <c r="H77" s="71"/>
      <c r="I77" s="71"/>
      <c r="J77" s="71"/>
      <c r="K77" s="71"/>
      <c r="L77" s="71"/>
      <c r="M77" s="71"/>
      <c r="N77" s="71"/>
    </row>
    <row r="78" spans="1:14">
      <c r="A78" s="72"/>
      <c r="B78" s="73"/>
      <c r="C78" s="73"/>
      <c r="D78" s="73"/>
      <c r="E78" s="73"/>
      <c r="F78" s="73"/>
      <c r="G78" s="71"/>
      <c r="H78" s="71"/>
      <c r="I78" s="71"/>
      <c r="J78" s="71"/>
      <c r="K78" s="71"/>
      <c r="L78" s="71"/>
      <c r="M78" s="71"/>
      <c r="N78" s="71"/>
    </row>
  </sheetData>
  <mergeCells count="6">
    <mergeCell ref="A1:N1"/>
    <mergeCell ref="A2:N2"/>
    <mergeCell ref="H16:N16"/>
    <mergeCell ref="G4:N14"/>
    <mergeCell ref="A77:F78"/>
    <mergeCell ref="A57:F59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5"/>
  <sheetViews>
    <sheetView showGridLines="0" workbookViewId="0">
      <selection activeCell="L67" sqref="L67"/>
    </sheetView>
  </sheetViews>
  <sheetFormatPr defaultColWidth="9" defaultRowHeight="16.8"/>
  <cols>
    <col min="1" max="1" width="13" customWidth="1"/>
    <col min="2" max="2" width="25" customWidth="1"/>
    <col min="3" max="4" width="31" customWidth="1"/>
    <col min="5" max="5" width="29" customWidth="1"/>
    <col min="6" max="6" width="23" customWidth="1"/>
    <col min="7" max="7" width="3" customWidth="1"/>
    <col min="8" max="14" width="17" customWidth="1"/>
  </cols>
  <sheetData>
    <row r="1" ht="30" customHeight="1" spans="1:14">
      <c r="A1" s="111" t="s">
        <v>55</v>
      </c>
      <c r="B1" s="111"/>
      <c r="C1" s="111"/>
      <c r="D1" s="111"/>
      <c r="E1" s="111"/>
      <c r="F1" s="111"/>
      <c r="G1" s="112"/>
      <c r="H1" s="112"/>
      <c r="I1" s="112"/>
      <c r="J1" s="112"/>
      <c r="K1" s="112"/>
      <c r="L1" s="112"/>
      <c r="M1" s="112"/>
      <c r="N1" s="112"/>
    </row>
    <row r="2" ht="30" customHeight="1" spans="1:14">
      <c r="A2" s="2" t="s">
        <v>655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ht="22" customHeight="1" spans="1:14">
      <c r="A4" s="3" t="s">
        <v>125</v>
      </c>
      <c r="B4" s="4" t="s">
        <v>12</v>
      </c>
      <c r="C4" s="5"/>
      <c r="D4" s="6" t="s">
        <v>503</v>
      </c>
      <c r="E4" s="7"/>
      <c r="G4" s="8" t="s">
        <v>656</v>
      </c>
      <c r="H4" s="9"/>
      <c r="I4" s="9"/>
      <c r="J4" s="9"/>
      <c r="K4" s="9"/>
      <c r="L4" s="9"/>
      <c r="M4" s="9"/>
      <c r="N4" s="10"/>
    </row>
    <row r="5" ht="22" customHeight="1" spans="1:14">
      <c r="A5" s="11" t="s">
        <v>178</v>
      </c>
      <c r="B5" s="12" t="s">
        <v>12</v>
      </c>
      <c r="C5" s="13"/>
      <c r="D5" s="14" t="s">
        <v>505</v>
      </c>
      <c r="E5" s="15" t="str">
        <f>HYPERLINK("#'Master'!A1","← Về Master")</f>
        <v>← Về Master</v>
      </c>
      <c r="G5" s="16"/>
      <c r="H5" s="17"/>
      <c r="I5" s="17"/>
      <c r="J5" s="17"/>
      <c r="K5" s="17"/>
      <c r="L5" s="17"/>
      <c r="M5" s="17"/>
      <c r="N5" s="18"/>
    </row>
    <row r="6" ht="22" customHeight="1" spans="1:14">
      <c r="A6" s="11" t="s">
        <v>179</v>
      </c>
      <c r="B6" s="12" t="s">
        <v>208</v>
      </c>
      <c r="C6" s="13"/>
      <c r="D6" s="14" t="s">
        <v>506</v>
      </c>
      <c r="E6" s="15" t="str">
        <f>HYPERLINK("https://github.com/brucemakeurname/AI-media-Agent/blob/main/PRODUCTION/goal/%5Bsocial%5D_%5Bai-clone-short-video%5D.md","Mở goal trên repo")</f>
        <v>Mở goal trên repo</v>
      </c>
      <c r="G6" s="16"/>
      <c r="H6" s="17"/>
      <c r="I6" s="17"/>
      <c r="J6" s="17"/>
      <c r="K6" s="17"/>
      <c r="L6" s="17"/>
      <c r="M6" s="17"/>
      <c r="N6" s="18"/>
    </row>
    <row r="7" ht="22" customHeight="1" spans="1:14">
      <c r="A7" s="11" t="s">
        <v>182</v>
      </c>
      <c r="B7" s="19">
        <v>46246</v>
      </c>
      <c r="C7" s="13"/>
      <c r="D7" s="14" t="s">
        <v>507</v>
      </c>
      <c r="E7" s="15" t="str">
        <f>HYPERLINK("file:///Users/test/Documents/AI Media/Hoài Nam/INFRA/DOCS/AI-VIDEO-CREATIVE-WORKFLOWS/AI-VIDEO-CREATIVE-WORKFLOW-DIAGRAM.png","Mở demo/diagram")</f>
        <v>Mở demo/diagram</v>
      </c>
      <c r="G7" s="16"/>
      <c r="H7" s="17"/>
      <c r="I7" s="17"/>
      <c r="J7" s="17"/>
      <c r="K7" s="17"/>
      <c r="L7" s="17"/>
      <c r="M7" s="17"/>
      <c r="N7" s="18"/>
    </row>
    <row r="8" ht="22" customHeight="1" spans="1:14">
      <c r="A8" s="11" t="s">
        <v>183</v>
      </c>
      <c r="B8" s="19"/>
      <c r="C8" s="13"/>
      <c r="D8" s="14" t="s">
        <v>508</v>
      </c>
      <c r="E8" s="15" t="str">
        <f>HYPERLINK("https://github.com/brucemakeurname/AI-media-Agent/blob/main/PRODUCTION/goal/%5Bsocial%5D_%5Bai-clone-short-video%5D.md","Mở HDSD/source")</f>
        <v>Mở HDSD/source</v>
      </c>
      <c r="G8" s="16"/>
      <c r="H8" s="17"/>
      <c r="I8" s="17"/>
      <c r="J8" s="17"/>
      <c r="K8" s="17"/>
      <c r="L8" s="17"/>
      <c r="M8" s="17"/>
      <c r="N8" s="18"/>
    </row>
    <row r="9" ht="22" customHeight="1" spans="1:14">
      <c r="A9" s="11" t="s">
        <v>189</v>
      </c>
      <c r="B9" s="12" t="s">
        <v>213</v>
      </c>
      <c r="C9" s="13"/>
      <c r="D9" s="13"/>
      <c r="E9" s="20"/>
      <c r="G9" s="16"/>
      <c r="H9" s="17"/>
      <c r="I9" s="17"/>
      <c r="J9" s="17"/>
      <c r="K9" s="17"/>
      <c r="L9" s="17"/>
      <c r="M9" s="17"/>
      <c r="N9" s="18"/>
    </row>
    <row r="10" ht="22" customHeight="1" spans="1:14">
      <c r="A10" s="11" t="s">
        <v>185</v>
      </c>
      <c r="B10" s="12" t="s">
        <v>657</v>
      </c>
      <c r="C10" s="13"/>
      <c r="D10" s="13"/>
      <c r="E10" s="20"/>
      <c r="G10" s="16"/>
      <c r="H10" s="17"/>
      <c r="I10" s="17"/>
      <c r="J10" s="17"/>
      <c r="K10" s="17"/>
      <c r="L10" s="17"/>
      <c r="M10" s="17"/>
      <c r="N10" s="18"/>
    </row>
    <row r="11" ht="22" customHeight="1" spans="1:14">
      <c r="A11" s="11" t="s">
        <v>510</v>
      </c>
      <c r="B11" s="12" t="s">
        <v>206</v>
      </c>
      <c r="C11" s="13"/>
      <c r="D11" s="13"/>
      <c r="E11" s="20"/>
      <c r="G11" s="16"/>
      <c r="H11" s="17"/>
      <c r="I11" s="17"/>
      <c r="J11" s="17"/>
      <c r="K11" s="17"/>
      <c r="L11" s="17"/>
      <c r="M11" s="17"/>
      <c r="N11" s="18"/>
    </row>
    <row r="12" ht="22" customHeight="1" spans="1:14">
      <c r="A12" s="11" t="s">
        <v>511</v>
      </c>
      <c r="B12" s="12" t="s">
        <v>658</v>
      </c>
      <c r="C12" s="13"/>
      <c r="D12" s="13"/>
      <c r="E12" s="20"/>
      <c r="G12" s="16"/>
      <c r="H12" s="17"/>
      <c r="I12" s="17"/>
      <c r="J12" s="17"/>
      <c r="K12" s="17"/>
      <c r="L12" s="17"/>
      <c r="M12" s="17"/>
      <c r="N12" s="18"/>
    </row>
    <row r="13" ht="22" customHeight="1" spans="1:14">
      <c r="A13" s="11" t="s">
        <v>513</v>
      </c>
      <c r="B13" s="12" t="s">
        <v>659</v>
      </c>
      <c r="C13" s="13"/>
      <c r="D13" s="13"/>
      <c r="E13" s="20"/>
      <c r="G13" s="16"/>
      <c r="H13" s="17"/>
      <c r="I13" s="17"/>
      <c r="J13" s="17"/>
      <c r="K13" s="17"/>
      <c r="L13" s="17"/>
      <c r="M13" s="17"/>
      <c r="N13" s="18"/>
    </row>
    <row r="14" ht="22" customHeight="1" spans="1:14">
      <c r="A14" s="21" t="s">
        <v>190</v>
      </c>
      <c r="B14" s="22" t="s">
        <v>214</v>
      </c>
      <c r="C14" s="23"/>
      <c r="D14" s="23"/>
      <c r="E14" s="24"/>
      <c r="G14" s="25"/>
      <c r="H14" s="26"/>
      <c r="I14" s="26"/>
      <c r="J14" s="26"/>
      <c r="K14" s="26"/>
      <c r="L14" s="26"/>
      <c r="M14" s="26"/>
      <c r="N14" s="27"/>
    </row>
    <row r="16" ht="24" customHeight="1" spans="1:14">
      <c r="A16" s="28" t="s">
        <v>514</v>
      </c>
      <c r="B16" s="28"/>
      <c r="C16" s="28"/>
      <c r="D16" s="28"/>
      <c r="E16" s="28"/>
      <c r="F16" s="28"/>
      <c r="G16" s="29"/>
      <c r="H16" s="29"/>
      <c r="I16" s="29"/>
      <c r="J16" s="29"/>
      <c r="K16" s="29"/>
      <c r="L16" s="29"/>
      <c r="M16" s="29"/>
      <c r="N16" s="29"/>
    </row>
    <row r="17" ht="32" customHeight="1" spans="1:14">
      <c r="A17" s="30" t="s">
        <v>516</v>
      </c>
      <c r="B17" s="30" t="s">
        <v>517</v>
      </c>
      <c r="C17" s="30" t="s">
        <v>518</v>
      </c>
      <c r="D17" s="30" t="s">
        <v>519</v>
      </c>
      <c r="E17" s="30" t="s">
        <v>520</v>
      </c>
      <c r="F17" s="30" t="s">
        <v>521</v>
      </c>
    </row>
    <row r="18" ht="32" customHeight="1" spans="1:14">
      <c r="A18" s="31">
        <v>1</v>
      </c>
      <c r="B18" s="32" t="s">
        <v>660</v>
      </c>
      <c r="C18" s="32" t="s">
        <v>523</v>
      </c>
      <c r="D18" s="32" t="s">
        <v>661</v>
      </c>
      <c r="E18" s="32" t="s">
        <v>524</v>
      </c>
      <c r="F18" s="33" t="s">
        <v>525</v>
      </c>
    </row>
    <row r="19" ht="32" customHeight="1" spans="1:14">
      <c r="A19" s="34">
        <v>2</v>
      </c>
      <c r="B19" s="35" t="s">
        <v>662</v>
      </c>
      <c r="C19" s="35" t="s">
        <v>527</v>
      </c>
      <c r="D19" s="35" t="s">
        <v>663</v>
      </c>
      <c r="E19" s="35" t="s">
        <v>524</v>
      </c>
      <c r="F19" s="36" t="s">
        <v>525</v>
      </c>
    </row>
    <row r="20" ht="32" customHeight="1" spans="1:14">
      <c r="A20" s="37">
        <v>3</v>
      </c>
      <c r="B20" s="38" t="s">
        <v>664</v>
      </c>
      <c r="C20" s="38" t="s">
        <v>527</v>
      </c>
      <c r="D20" s="38" t="s">
        <v>361</v>
      </c>
      <c r="E20" s="38" t="s">
        <v>524</v>
      </c>
      <c r="F20" s="39" t="s">
        <v>525</v>
      </c>
    </row>
    <row r="21" ht="32" customHeight="1" spans="1:14">
      <c r="A21" s="34">
        <v>4</v>
      </c>
      <c r="B21" s="35" t="s">
        <v>665</v>
      </c>
      <c r="C21" s="35" t="s">
        <v>527</v>
      </c>
      <c r="D21" s="35" t="s">
        <v>366</v>
      </c>
      <c r="E21" s="35" t="s">
        <v>524</v>
      </c>
      <c r="F21" s="36" t="s">
        <v>525</v>
      </c>
    </row>
    <row r="22" ht="32" customHeight="1" spans="1:14">
      <c r="A22" s="37">
        <v>5</v>
      </c>
      <c r="B22" s="38" t="s">
        <v>666</v>
      </c>
      <c r="C22" s="38" t="s">
        <v>527</v>
      </c>
      <c r="D22" s="38" t="s">
        <v>531</v>
      </c>
      <c r="E22" s="38" t="s">
        <v>524</v>
      </c>
      <c r="F22" s="39" t="s">
        <v>525</v>
      </c>
    </row>
    <row r="23" ht="32" customHeight="1" spans="1:14">
      <c r="A23" s="40">
        <v>6</v>
      </c>
      <c r="B23" s="41" t="s">
        <v>667</v>
      </c>
      <c r="C23" s="41" t="s">
        <v>527</v>
      </c>
      <c r="D23" s="41" t="s">
        <v>668</v>
      </c>
      <c r="E23" s="41" t="s">
        <v>533</v>
      </c>
      <c r="F23" s="42" t="s">
        <v>534</v>
      </c>
    </row>
    <row r="32" spans="1:14">
      <c r="H32" s="43" t="s">
        <v>669</v>
      </c>
      <c r="I32" s="43"/>
      <c r="J32" s="43"/>
      <c r="K32" s="43"/>
      <c r="L32" s="43"/>
      <c r="M32" s="43"/>
      <c r="N32" s="43"/>
    </row>
    <row r="35" ht="24" customHeight="1" spans="1:14">
      <c r="A35" s="44" t="s">
        <v>535</v>
      </c>
      <c r="B35" s="44"/>
      <c r="C35" s="44"/>
      <c r="D35" s="44"/>
      <c r="E35" s="44"/>
      <c r="F35" s="113"/>
      <c r="G35" s="29"/>
      <c r="H35" s="29"/>
      <c r="I35" s="29"/>
      <c r="J35" s="29"/>
      <c r="K35" s="29"/>
      <c r="L35" s="29"/>
      <c r="M35" s="29"/>
      <c r="N35" s="29"/>
    </row>
    <row r="36" ht="34" customHeight="1" spans="1:14">
      <c r="A36" s="45" t="s">
        <v>516</v>
      </c>
      <c r="B36" s="45" t="s">
        <v>536</v>
      </c>
      <c r="C36" s="45" t="s">
        <v>518</v>
      </c>
      <c r="D36" s="45" t="s">
        <v>537</v>
      </c>
      <c r="E36" s="45" t="s">
        <v>42</v>
      </c>
    </row>
    <row r="37" ht="42" customHeight="1" spans="1:14">
      <c r="A37" s="46" t="s">
        <v>538</v>
      </c>
      <c r="B37" s="4" t="s">
        <v>670</v>
      </c>
      <c r="C37" s="4" t="s">
        <v>671</v>
      </c>
      <c r="D37" s="4" t="s">
        <v>672</v>
      </c>
      <c r="E37" s="47" t="s">
        <v>673</v>
      </c>
    </row>
    <row r="38" ht="42" customHeight="1" spans="1:14">
      <c r="A38" s="48" t="s">
        <v>543</v>
      </c>
      <c r="B38" s="12" t="s">
        <v>674</v>
      </c>
      <c r="C38" s="12" t="s">
        <v>675</v>
      </c>
      <c r="D38" s="12" t="s">
        <v>676</v>
      </c>
      <c r="E38" s="49" t="s">
        <v>542</v>
      </c>
    </row>
    <row r="39" ht="42" customHeight="1" spans="1:14">
      <c r="A39" s="48" t="s">
        <v>547</v>
      </c>
      <c r="B39" s="12" t="s">
        <v>677</v>
      </c>
      <c r="C39" s="12" t="s">
        <v>678</v>
      </c>
      <c r="D39" s="12" t="s">
        <v>679</v>
      </c>
      <c r="E39" s="49" t="s">
        <v>542</v>
      </c>
    </row>
    <row r="40" ht="42" customHeight="1" spans="1:14">
      <c r="A40" s="48" t="s">
        <v>552</v>
      </c>
      <c r="B40" s="12" t="s">
        <v>680</v>
      </c>
      <c r="C40" s="12" t="s">
        <v>681</v>
      </c>
      <c r="D40" s="12" t="s">
        <v>682</v>
      </c>
      <c r="E40" s="49" t="s">
        <v>683</v>
      </c>
    </row>
    <row r="41" ht="42" customHeight="1" spans="1:14">
      <c r="A41" s="50" t="s">
        <v>557</v>
      </c>
      <c r="B41" s="22" t="s">
        <v>684</v>
      </c>
      <c r="C41" s="22" t="s">
        <v>685</v>
      </c>
      <c r="D41" s="22" t="s">
        <v>686</v>
      </c>
      <c r="E41" s="51" t="s">
        <v>687</v>
      </c>
    </row>
    <row r="45" ht="24" customHeight="1" spans="1:14">
      <c r="A45" s="52" t="s">
        <v>562</v>
      </c>
      <c r="B45" s="52"/>
      <c r="C45" s="52"/>
      <c r="D45" s="52"/>
      <c r="E45" s="52"/>
      <c r="F45" s="29"/>
      <c r="G45" s="29"/>
      <c r="H45" s="29"/>
      <c r="I45" s="29"/>
      <c r="J45" s="29"/>
      <c r="K45" s="29"/>
      <c r="L45" s="29"/>
      <c r="M45" s="29"/>
      <c r="N45" s="29"/>
    </row>
    <row r="46" ht="34" customHeight="1" spans="1:14">
      <c r="A46" s="53" t="s">
        <v>563</v>
      </c>
      <c r="B46" s="53" t="s">
        <v>564</v>
      </c>
      <c r="C46" s="53" t="s">
        <v>565</v>
      </c>
      <c r="D46" s="53" t="s">
        <v>566</v>
      </c>
      <c r="E46" s="53" t="s">
        <v>567</v>
      </c>
    </row>
    <row r="47" ht="48" customHeight="1" spans="1:14">
      <c r="A47" s="46" t="s">
        <v>688</v>
      </c>
      <c r="B47" s="4" t="s">
        <v>689</v>
      </c>
      <c r="C47" s="4" t="s">
        <v>690</v>
      </c>
      <c r="D47" s="4" t="s">
        <v>691</v>
      </c>
      <c r="E47" s="47" t="s">
        <v>692</v>
      </c>
    </row>
    <row r="48" ht="48" customHeight="1" spans="1:14">
      <c r="A48" s="48" t="s">
        <v>693</v>
      </c>
      <c r="B48" s="12" t="s">
        <v>694</v>
      </c>
      <c r="C48" s="12" t="s">
        <v>695</v>
      </c>
      <c r="D48" s="12" t="s">
        <v>696</v>
      </c>
      <c r="E48" s="49" t="s">
        <v>697</v>
      </c>
    </row>
    <row r="49" ht="48" customHeight="1" spans="1:14">
      <c r="A49" s="50" t="s">
        <v>698</v>
      </c>
      <c r="B49" s="22" t="s">
        <v>699</v>
      </c>
      <c r="C49" s="22" t="s">
        <v>700</v>
      </c>
      <c r="D49" s="22" t="s">
        <v>701</v>
      </c>
      <c r="E49" s="51" t="s">
        <v>702</v>
      </c>
    </row>
    <row r="52" ht="24" customHeight="1" spans="1:14">
      <c r="A52" s="54" t="s">
        <v>588</v>
      </c>
      <c r="B52" s="54"/>
      <c r="C52" s="54"/>
      <c r="D52" s="54"/>
      <c r="E52" s="29"/>
      <c r="F52" s="29"/>
      <c r="G52" s="29"/>
      <c r="H52" s="29"/>
      <c r="I52" s="29"/>
      <c r="J52" s="29"/>
      <c r="K52" s="29"/>
      <c r="L52" s="29"/>
      <c r="M52" s="29"/>
      <c r="N52" s="29"/>
    </row>
    <row r="53" ht="34" customHeight="1" spans="1:14">
      <c r="A53" s="55" t="s">
        <v>186</v>
      </c>
      <c r="B53" s="55" t="s">
        <v>187</v>
      </c>
      <c r="C53" s="55" t="s">
        <v>589</v>
      </c>
      <c r="D53" s="55" t="s">
        <v>590</v>
      </c>
    </row>
    <row r="54" ht="70" customHeight="1" spans="1:14">
      <c r="A54" s="56" t="s">
        <v>210</v>
      </c>
      <c r="B54" s="57" t="s">
        <v>211</v>
      </c>
      <c r="C54" s="57" t="s">
        <v>214</v>
      </c>
      <c r="D54" s="58" t="s">
        <v>659</v>
      </c>
    </row>
    <row r="56" ht="28" customHeight="1" spans="1:14">
      <c r="A56" s="59" t="s">
        <v>591</v>
      </c>
      <c r="B56" s="60"/>
      <c r="C56" s="60"/>
      <c r="D56" s="60"/>
      <c r="E56" s="60"/>
      <c r="F56" s="60"/>
      <c r="G56" s="78"/>
      <c r="H56" s="61"/>
      <c r="I56" s="61"/>
      <c r="J56" s="61"/>
      <c r="K56" s="61"/>
      <c r="L56" s="61"/>
      <c r="M56" s="61"/>
      <c r="N56" s="61"/>
    </row>
    <row r="57" ht="28" customHeight="1" spans="1:14">
      <c r="A57" s="62"/>
      <c r="B57" s="63"/>
      <c r="C57" s="63"/>
      <c r="D57" s="63"/>
      <c r="E57" s="63"/>
      <c r="F57" s="63"/>
      <c r="G57" s="80"/>
      <c r="H57" s="61"/>
      <c r="I57" s="61"/>
      <c r="J57" s="61"/>
      <c r="K57" s="61"/>
      <c r="L57" s="61"/>
      <c r="M57" s="61"/>
      <c r="N57" s="61"/>
    </row>
    <row r="59" ht="24" customHeight="1" spans="1:14">
      <c r="A59" s="44" t="s">
        <v>592</v>
      </c>
      <c r="B59" s="44"/>
      <c r="C59" s="44"/>
      <c r="D59" s="44"/>
      <c r="E59" s="44"/>
      <c r="F59" s="44"/>
      <c r="G59" s="29"/>
      <c r="H59" s="29"/>
      <c r="I59" s="29"/>
      <c r="J59" s="29"/>
      <c r="K59" s="29"/>
      <c r="L59" s="29"/>
      <c r="M59" s="29"/>
      <c r="N59" s="29"/>
    </row>
    <row r="60" ht="34" customHeight="1" spans="1:14">
      <c r="A60" s="64" t="s">
        <v>70</v>
      </c>
      <c r="B60" s="64" t="s">
        <v>593</v>
      </c>
      <c r="C60" s="64" t="s">
        <v>594</v>
      </c>
      <c r="D60" s="64" t="s">
        <v>595</v>
      </c>
      <c r="E60" s="64" t="s">
        <v>596</v>
      </c>
      <c r="F60" s="64" t="s">
        <v>597</v>
      </c>
    </row>
    <row r="61" ht="64" customHeight="1" spans="1:14">
      <c r="A61" s="65">
        <v>1</v>
      </c>
      <c r="B61" s="4" t="s">
        <v>703</v>
      </c>
      <c r="C61" s="4" t="s">
        <v>704</v>
      </c>
      <c r="D61" s="4" t="s">
        <v>705</v>
      </c>
      <c r="E61" s="4" t="s">
        <v>706</v>
      </c>
      <c r="F61" s="47" t="s">
        <v>707</v>
      </c>
    </row>
    <row r="62" ht="64" customHeight="1" spans="1:14">
      <c r="A62" s="66">
        <v>2</v>
      </c>
      <c r="B62" s="12" t="s">
        <v>708</v>
      </c>
      <c r="C62" s="12" t="s">
        <v>709</v>
      </c>
      <c r="D62" s="12" t="s">
        <v>710</v>
      </c>
      <c r="E62" s="12" t="s">
        <v>711</v>
      </c>
      <c r="F62" s="49" t="s">
        <v>712</v>
      </c>
    </row>
    <row r="63" ht="64" customHeight="1" spans="1:14">
      <c r="A63" s="66">
        <v>3</v>
      </c>
      <c r="B63" s="12" t="s">
        <v>713</v>
      </c>
      <c r="C63" s="12" t="s">
        <v>714</v>
      </c>
      <c r="D63" s="12" t="s">
        <v>715</v>
      </c>
      <c r="E63" s="12" t="s">
        <v>716</v>
      </c>
      <c r="F63" s="49" t="s">
        <v>717</v>
      </c>
    </row>
    <row r="64" ht="64" customHeight="1" spans="1:14">
      <c r="A64" s="67">
        <v>4</v>
      </c>
      <c r="B64" s="22" t="s">
        <v>718</v>
      </c>
      <c r="C64" s="22" t="s">
        <v>719</v>
      </c>
      <c r="D64" s="22" t="s">
        <v>720</v>
      </c>
      <c r="E64" s="22" t="s">
        <v>721</v>
      </c>
      <c r="F64" s="51" t="s">
        <v>190</v>
      </c>
    </row>
    <row r="67" ht="24" customHeight="1" spans="1:14">
      <c r="A67" s="52" t="s">
        <v>623</v>
      </c>
      <c r="B67" s="52"/>
      <c r="C67" s="52"/>
      <c r="D67" s="52"/>
      <c r="E67" s="52"/>
      <c r="F67" s="52"/>
      <c r="G67" s="29"/>
      <c r="H67" s="29"/>
      <c r="I67" s="29"/>
      <c r="J67" s="29"/>
      <c r="K67" s="29"/>
      <c r="L67" s="29"/>
      <c r="M67" s="29"/>
      <c r="N67" s="29"/>
    </row>
    <row r="68" ht="34" customHeight="1" spans="1:14">
      <c r="A68" s="68" t="s">
        <v>70</v>
      </c>
      <c r="B68" s="68" t="s">
        <v>624</v>
      </c>
      <c r="C68" s="68" t="s">
        <v>625</v>
      </c>
      <c r="D68" s="68" t="s">
        <v>626</v>
      </c>
      <c r="E68" s="68" t="s">
        <v>627</v>
      </c>
      <c r="F68" s="68" t="s">
        <v>628</v>
      </c>
    </row>
    <row r="69" ht="64" customHeight="1" spans="1:14">
      <c r="A69" s="65">
        <v>1</v>
      </c>
      <c r="B69" s="4" t="s">
        <v>722</v>
      </c>
      <c r="C69" s="4" t="s">
        <v>723</v>
      </c>
      <c r="D69" s="4" t="s">
        <v>724</v>
      </c>
      <c r="E69" s="4" t="s">
        <v>725</v>
      </c>
      <c r="F69" s="47" t="s">
        <v>726</v>
      </c>
    </row>
    <row r="70" ht="64" customHeight="1" spans="1:14">
      <c r="A70" s="66">
        <v>2</v>
      </c>
      <c r="B70" s="12" t="s">
        <v>727</v>
      </c>
      <c r="C70" s="12" t="s">
        <v>728</v>
      </c>
      <c r="D70" s="12" t="s">
        <v>729</v>
      </c>
      <c r="E70" s="12" t="s">
        <v>730</v>
      </c>
      <c r="F70" s="49" t="s">
        <v>731</v>
      </c>
    </row>
    <row r="71" ht="64" customHeight="1" spans="1:14">
      <c r="A71" s="66">
        <v>3</v>
      </c>
      <c r="B71" s="12" t="s">
        <v>732</v>
      </c>
      <c r="C71" s="12" t="s">
        <v>733</v>
      </c>
      <c r="D71" s="12" t="s">
        <v>734</v>
      </c>
      <c r="E71" s="12" t="s">
        <v>735</v>
      </c>
      <c r="F71" s="49" t="s">
        <v>736</v>
      </c>
    </row>
    <row r="72" ht="64" customHeight="1" spans="1:14">
      <c r="A72" s="67">
        <v>4</v>
      </c>
      <c r="B72" s="22" t="s">
        <v>737</v>
      </c>
      <c r="C72" s="22" t="s">
        <v>738</v>
      </c>
      <c r="D72" s="22" t="s">
        <v>739</v>
      </c>
      <c r="E72" s="22" t="s">
        <v>740</v>
      </c>
      <c r="F72" s="51" t="s">
        <v>741</v>
      </c>
    </row>
    <row r="74" ht="30" customHeight="1" spans="1:14">
      <c r="A74" s="69" t="s">
        <v>654</v>
      </c>
      <c r="B74" s="70"/>
      <c r="C74" s="70"/>
      <c r="D74" s="70"/>
      <c r="E74" s="70"/>
      <c r="F74" s="70"/>
      <c r="G74" s="106"/>
      <c r="H74" s="71"/>
      <c r="I74" s="71"/>
      <c r="J74" s="71"/>
      <c r="K74" s="71"/>
      <c r="L74" s="71"/>
      <c r="M74" s="71"/>
      <c r="N74" s="71"/>
    </row>
    <row r="75" ht="30" customHeight="1" spans="1:14">
      <c r="A75" s="72"/>
      <c r="B75" s="73"/>
      <c r="C75" s="73"/>
      <c r="D75" s="73"/>
      <c r="E75" s="73"/>
      <c r="F75" s="73"/>
      <c r="G75" s="109"/>
      <c r="H75" s="71"/>
      <c r="I75" s="71"/>
      <c r="J75" s="71"/>
      <c r="K75" s="71"/>
      <c r="L75" s="71"/>
      <c r="M75" s="71"/>
      <c r="N75" s="71"/>
    </row>
  </sheetData>
  <mergeCells count="5">
    <mergeCell ref="A2:N2"/>
    <mergeCell ref="H32:N32"/>
    <mergeCell ref="G4:N14"/>
    <mergeCell ref="A56:F57"/>
    <mergeCell ref="A74:F75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4"/>
  <sheetViews>
    <sheetView showGridLines="0" workbookViewId="0">
      <selection activeCell="H25" sqref="H25"/>
    </sheetView>
  </sheetViews>
  <sheetFormatPr defaultColWidth="9" defaultRowHeight="16.8"/>
  <cols>
    <col min="1" max="1" width="13" style="87" customWidth="1"/>
    <col min="2" max="2" width="25" style="87" customWidth="1"/>
    <col min="3" max="4" width="31" style="87" customWidth="1"/>
    <col min="5" max="5" width="29" style="87" customWidth="1"/>
    <col min="6" max="6" width="23" style="87" customWidth="1"/>
    <col min="7" max="7" width="3" style="87" customWidth="1"/>
    <col min="8" max="14" width="17" style="87" customWidth="1"/>
    <col min="15" max="16384" width="9" style="87"/>
  </cols>
  <sheetData>
    <row r="1" ht="23.2" spans="1:14">
      <c r="A1" s="88" t="s">
        <v>240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2" spans="1:14">
      <c r="A2" s="2" t="s">
        <v>742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4">
      <c r="A4" s="89" t="s">
        <v>125</v>
      </c>
      <c r="B4" s="4" t="s">
        <v>141</v>
      </c>
      <c r="C4" s="90"/>
      <c r="D4" s="91" t="s">
        <v>503</v>
      </c>
      <c r="E4" s="7"/>
      <c r="G4" s="8" t="s">
        <v>743</v>
      </c>
      <c r="H4" s="9"/>
      <c r="I4" s="9"/>
      <c r="J4" s="9"/>
      <c r="K4" s="9"/>
      <c r="L4" s="9"/>
      <c r="M4" s="9"/>
      <c r="N4" s="10"/>
    </row>
    <row r="5" spans="1:14">
      <c r="A5" s="92" t="s">
        <v>178</v>
      </c>
      <c r="B5" s="12" t="s">
        <v>195</v>
      </c>
      <c r="C5" s="93"/>
      <c r="D5" s="94" t="s">
        <v>505</v>
      </c>
      <c r="E5" s="15" t="str">
        <f>HYPERLINK("#'Master'!A1","← Về Master")</f>
        <v>← Về Master</v>
      </c>
      <c r="G5" s="16"/>
      <c r="H5" s="17"/>
      <c r="I5" s="17"/>
      <c r="J5" s="17"/>
      <c r="K5" s="17"/>
      <c r="L5" s="17"/>
      <c r="M5" s="17"/>
      <c r="N5" s="18"/>
    </row>
    <row r="6" spans="1:14">
      <c r="A6" s="92" t="s">
        <v>179</v>
      </c>
      <c r="B6" s="12" t="s">
        <v>196</v>
      </c>
      <c r="C6" s="93"/>
      <c r="D6" s="94" t="s">
        <v>506</v>
      </c>
      <c r="E6" s="15" t="str">
        <f>HYPERLINK("https://github.com/brucemakeurname/AI-media-Agent/blob/main/PRODUCTION/goal/%5Bsocial%5D_%5Bai_clone_creative%5D.md","Mở goal trên repo")</f>
        <v>Mở goal trên repo</v>
      </c>
      <c r="G6" s="16"/>
      <c r="H6" s="17"/>
      <c r="I6" s="17"/>
      <c r="J6" s="17"/>
      <c r="K6" s="17"/>
      <c r="L6" s="17"/>
      <c r="M6" s="17"/>
      <c r="N6" s="18"/>
    </row>
    <row r="7" spans="1:14">
      <c r="A7" s="92" t="s">
        <v>182</v>
      </c>
      <c r="B7" s="19">
        <v>46247</v>
      </c>
      <c r="C7" s="93"/>
      <c r="D7" s="94" t="s">
        <v>507</v>
      </c>
      <c r="E7" s="15" t="str">
        <f>HYPERLINK("file:///Users/test/Documents/AI Media/Hoài Nam/INFRA/DOCS/social-ai-clone-creative/social-ai-clone-creative-WORKFLOW-DIAGRAM.png","Mở demo/diagram")</f>
        <v>Mở demo/diagram</v>
      </c>
      <c r="G7" s="16"/>
      <c r="H7" s="17"/>
      <c r="I7" s="17"/>
      <c r="J7" s="17"/>
      <c r="K7" s="17"/>
      <c r="L7" s="17"/>
      <c r="M7" s="17"/>
      <c r="N7" s="18"/>
    </row>
    <row r="8" spans="1:14">
      <c r="A8" s="92" t="s">
        <v>183</v>
      </c>
      <c r="B8" s="19"/>
      <c r="C8" s="93"/>
      <c r="D8" s="94" t="s">
        <v>508</v>
      </c>
      <c r="E8" s="15" t="str">
        <f>HYPERLINK("https://github.com/brucemakeurname/AI-media-Agent/blob/main/DOCS/social-ai-clone-creative/HDSD.md","Mở HDSD/source")</f>
        <v>Mở HDSD/source</v>
      </c>
      <c r="G8" s="16"/>
      <c r="H8" s="17"/>
      <c r="I8" s="17"/>
      <c r="J8" s="17"/>
      <c r="K8" s="17"/>
      <c r="L8" s="17"/>
      <c r="M8" s="17"/>
      <c r="N8" s="18"/>
    </row>
    <row r="9" ht="28" spans="1:14">
      <c r="A9" s="92" t="s">
        <v>189</v>
      </c>
      <c r="B9" s="12" t="s">
        <v>248</v>
      </c>
      <c r="C9" s="93"/>
      <c r="D9" s="93"/>
      <c r="E9" s="95"/>
      <c r="G9" s="16"/>
      <c r="H9" s="17"/>
      <c r="I9" s="17"/>
      <c r="J9" s="17"/>
      <c r="K9" s="17"/>
      <c r="L9" s="17"/>
      <c r="M9" s="17"/>
      <c r="N9" s="18"/>
    </row>
    <row r="10" ht="28" spans="1:14">
      <c r="A10" s="92" t="s">
        <v>185</v>
      </c>
      <c r="B10" s="12" t="s">
        <v>744</v>
      </c>
      <c r="C10" s="93"/>
      <c r="D10" s="93"/>
      <c r="E10" s="95"/>
      <c r="G10" s="16"/>
      <c r="H10" s="17"/>
      <c r="I10" s="17"/>
      <c r="J10" s="17"/>
      <c r="K10" s="17"/>
      <c r="L10" s="17"/>
      <c r="M10" s="17"/>
      <c r="N10" s="18"/>
    </row>
    <row r="11" ht="28" spans="1:14">
      <c r="A11" s="92" t="s">
        <v>510</v>
      </c>
      <c r="B11" s="12" t="s">
        <v>241</v>
      </c>
      <c r="C11" s="93"/>
      <c r="D11" s="93"/>
      <c r="E11" s="95"/>
      <c r="G11" s="16"/>
      <c r="H11" s="17"/>
      <c r="I11" s="17"/>
      <c r="J11" s="17"/>
      <c r="K11" s="17"/>
      <c r="L11" s="17"/>
      <c r="M11" s="17"/>
      <c r="N11" s="18"/>
    </row>
    <row r="12" ht="28" spans="1:14">
      <c r="A12" s="92" t="s">
        <v>511</v>
      </c>
      <c r="B12" s="12" t="s">
        <v>745</v>
      </c>
      <c r="C12" s="93"/>
      <c r="D12" s="93"/>
      <c r="E12" s="95"/>
      <c r="G12" s="16"/>
      <c r="H12" s="17"/>
      <c r="I12" s="17"/>
      <c r="J12" s="17"/>
      <c r="K12" s="17"/>
      <c r="L12" s="17"/>
      <c r="M12" s="17"/>
      <c r="N12" s="18"/>
    </row>
    <row r="13" ht="28" spans="1:14">
      <c r="A13" s="92" t="s">
        <v>513</v>
      </c>
      <c r="B13" s="12" t="s">
        <v>247</v>
      </c>
      <c r="C13" s="93"/>
      <c r="D13" s="93"/>
      <c r="E13" s="95"/>
      <c r="G13" s="16"/>
      <c r="H13" s="17"/>
      <c r="I13" s="17"/>
      <c r="J13" s="17"/>
      <c r="K13" s="17"/>
      <c r="L13" s="17"/>
      <c r="M13" s="17"/>
      <c r="N13" s="18"/>
    </row>
    <row r="14" spans="1:14">
      <c r="A14" s="96" t="s">
        <v>190</v>
      </c>
      <c r="B14" s="22" t="s">
        <v>249</v>
      </c>
      <c r="C14" s="97"/>
      <c r="D14" s="97"/>
      <c r="E14" s="98"/>
      <c r="G14" s="25"/>
      <c r="H14" s="26"/>
      <c r="I14" s="26"/>
      <c r="J14" s="26"/>
      <c r="K14" s="26"/>
      <c r="L14" s="26"/>
      <c r="M14" s="26"/>
      <c r="N14" s="27"/>
    </row>
    <row r="16" ht="17.6" spans="1:14">
      <c r="A16" s="99" t="s">
        <v>514</v>
      </c>
      <c r="B16" s="99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</row>
    <row r="17" spans="1:14">
      <c r="A17" s="30" t="s">
        <v>516</v>
      </c>
      <c r="B17" s="30" t="s">
        <v>517</v>
      </c>
      <c r="C17" s="30" t="s">
        <v>518</v>
      </c>
      <c r="D17" s="30" t="s">
        <v>519</v>
      </c>
      <c r="E17" s="30" t="s">
        <v>520</v>
      </c>
      <c r="F17" s="30" t="s">
        <v>521</v>
      </c>
    </row>
    <row r="18" spans="1:14">
      <c r="A18" s="31">
        <v>1</v>
      </c>
      <c r="B18" s="32" t="s">
        <v>746</v>
      </c>
      <c r="C18" s="32" t="s">
        <v>523</v>
      </c>
      <c r="D18" s="32" t="s">
        <v>354</v>
      </c>
      <c r="E18" s="32" t="s">
        <v>524</v>
      </c>
      <c r="F18" s="33" t="s">
        <v>525</v>
      </c>
    </row>
    <row r="19" spans="1:14">
      <c r="A19" s="34">
        <v>2</v>
      </c>
      <c r="B19" s="35" t="s">
        <v>747</v>
      </c>
      <c r="C19" s="35" t="s">
        <v>527</v>
      </c>
      <c r="D19" s="35" t="s">
        <v>379</v>
      </c>
      <c r="E19" s="35" t="s">
        <v>524</v>
      </c>
      <c r="F19" s="36" t="s">
        <v>525</v>
      </c>
    </row>
    <row r="20" spans="1:14">
      <c r="A20" s="37">
        <v>3</v>
      </c>
      <c r="B20" s="38" t="s">
        <v>748</v>
      </c>
      <c r="C20" s="38" t="s">
        <v>527</v>
      </c>
      <c r="D20" s="38" t="s">
        <v>374</v>
      </c>
      <c r="E20" s="38" t="s">
        <v>524</v>
      </c>
      <c r="F20" s="39" t="s">
        <v>525</v>
      </c>
    </row>
    <row r="21" spans="1:14">
      <c r="A21" s="34">
        <v>4</v>
      </c>
      <c r="B21" s="35" t="s">
        <v>749</v>
      </c>
      <c r="C21" s="35" t="s">
        <v>527</v>
      </c>
      <c r="D21" s="35" t="s">
        <v>383</v>
      </c>
      <c r="E21" s="35" t="s">
        <v>524</v>
      </c>
      <c r="F21" s="36" t="s">
        <v>525</v>
      </c>
    </row>
    <row r="22" spans="1:14">
      <c r="A22" s="37">
        <v>5</v>
      </c>
      <c r="B22" s="38" t="s">
        <v>750</v>
      </c>
      <c r="C22" s="38" t="s">
        <v>527</v>
      </c>
      <c r="D22" s="38" t="s">
        <v>388</v>
      </c>
      <c r="E22" s="38" t="s">
        <v>524</v>
      </c>
      <c r="F22" s="39" t="s">
        <v>525</v>
      </c>
    </row>
    <row r="23" spans="1:14">
      <c r="A23" s="40">
        <v>6</v>
      </c>
      <c r="B23" s="41" t="s">
        <v>751</v>
      </c>
      <c r="C23" s="41" t="s">
        <v>527</v>
      </c>
      <c r="D23" s="41" t="s">
        <v>431</v>
      </c>
      <c r="E23" s="41" t="s">
        <v>533</v>
      </c>
      <c r="F23" s="42" t="s">
        <v>534</v>
      </c>
    </row>
    <row r="32" spans="1:14">
      <c r="H32" s="43" t="s">
        <v>752</v>
      </c>
      <c r="I32" s="43"/>
      <c r="J32" s="43"/>
      <c r="K32" s="43"/>
      <c r="L32" s="43"/>
      <c r="M32" s="43"/>
      <c r="N32" s="43"/>
    </row>
    <row r="35" ht="17.6" spans="1:14">
      <c r="A35" s="100" t="s">
        <v>535</v>
      </c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</row>
    <row r="36" spans="1:14">
      <c r="A36" s="45" t="s">
        <v>516</v>
      </c>
      <c r="B36" s="45" t="s">
        <v>536</v>
      </c>
      <c r="C36" s="45" t="s">
        <v>518</v>
      </c>
      <c r="D36" s="45" t="s">
        <v>537</v>
      </c>
      <c r="E36" s="45" t="s">
        <v>42</v>
      </c>
    </row>
    <row r="37" spans="1:14">
      <c r="A37" s="46" t="s">
        <v>538</v>
      </c>
      <c r="B37" s="4" t="s">
        <v>753</v>
      </c>
      <c r="C37" s="4" t="s">
        <v>754</v>
      </c>
      <c r="D37" s="4" t="s">
        <v>755</v>
      </c>
      <c r="E37" s="47" t="s">
        <v>542</v>
      </c>
    </row>
    <row r="38" spans="1:14">
      <c r="A38" s="48" t="s">
        <v>543</v>
      </c>
      <c r="B38" s="12" t="s">
        <v>756</v>
      </c>
      <c r="C38" s="12" t="s">
        <v>757</v>
      </c>
      <c r="D38" s="12" t="s">
        <v>758</v>
      </c>
      <c r="E38" s="49" t="s">
        <v>551</v>
      </c>
    </row>
    <row r="39" spans="1:14">
      <c r="A39" s="48" t="s">
        <v>547</v>
      </c>
      <c r="B39" s="12" t="s">
        <v>759</v>
      </c>
      <c r="C39" s="12" t="s">
        <v>760</v>
      </c>
      <c r="D39" s="12" t="s">
        <v>761</v>
      </c>
      <c r="E39" s="49" t="s">
        <v>762</v>
      </c>
    </row>
    <row r="40" spans="1:14">
      <c r="A40" s="48" t="s">
        <v>552</v>
      </c>
      <c r="B40" s="12" t="s">
        <v>553</v>
      </c>
      <c r="C40" s="12" t="s">
        <v>763</v>
      </c>
      <c r="D40" s="12" t="s">
        <v>764</v>
      </c>
      <c r="E40" s="49" t="s">
        <v>762</v>
      </c>
    </row>
    <row r="41" spans="1:14">
      <c r="A41" s="50" t="s">
        <v>557</v>
      </c>
      <c r="B41" s="22" t="s">
        <v>195</v>
      </c>
      <c r="C41" s="22" t="s">
        <v>765</v>
      </c>
      <c r="D41" s="22" t="s">
        <v>766</v>
      </c>
      <c r="E41" s="51" t="s">
        <v>767</v>
      </c>
    </row>
    <row r="45" ht="17.6" spans="1:14">
      <c r="A45" s="101" t="s">
        <v>562</v>
      </c>
      <c r="B45" s="101"/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</row>
    <row r="46" spans="1:14">
      <c r="A46" s="53" t="s">
        <v>563</v>
      </c>
      <c r="B46" s="53" t="s">
        <v>564</v>
      </c>
      <c r="C46" s="53" t="s">
        <v>565</v>
      </c>
      <c r="D46" s="53" t="s">
        <v>566</v>
      </c>
      <c r="E46" s="53" t="s">
        <v>567</v>
      </c>
    </row>
    <row r="47" ht="28" spans="1:14">
      <c r="A47" s="46" t="s">
        <v>768</v>
      </c>
      <c r="B47" s="4" t="s">
        <v>769</v>
      </c>
      <c r="C47" s="4" t="s">
        <v>770</v>
      </c>
      <c r="D47" s="4" t="s">
        <v>771</v>
      </c>
      <c r="E47" s="47" t="s">
        <v>772</v>
      </c>
    </row>
    <row r="48" spans="1:14">
      <c r="A48" s="48" t="s">
        <v>773</v>
      </c>
      <c r="B48" s="12" t="s">
        <v>774</v>
      </c>
      <c r="C48" s="12" t="s">
        <v>775</v>
      </c>
      <c r="D48" s="12" t="s">
        <v>776</v>
      </c>
      <c r="E48" s="49" t="s">
        <v>777</v>
      </c>
    </row>
    <row r="49" spans="1:14">
      <c r="A49" s="50" t="s">
        <v>778</v>
      </c>
      <c r="B49" s="22" t="s">
        <v>779</v>
      </c>
      <c r="C49" s="22" t="s">
        <v>780</v>
      </c>
      <c r="D49" s="22" t="s">
        <v>781</v>
      </c>
      <c r="E49" s="51" t="s">
        <v>782</v>
      </c>
    </row>
    <row r="52" ht="17.6" spans="1:14">
      <c r="A52" s="102" t="s">
        <v>588</v>
      </c>
      <c r="B52" s="102"/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</row>
    <row r="53" spans="1:14">
      <c r="A53" s="55" t="s">
        <v>186</v>
      </c>
      <c r="B53" s="55" t="s">
        <v>187</v>
      </c>
      <c r="C53" s="55" t="s">
        <v>589</v>
      </c>
      <c r="D53" s="55" t="s">
        <v>590</v>
      </c>
    </row>
    <row r="54" ht="96" spans="1:14">
      <c r="A54" s="56" t="s">
        <v>245</v>
      </c>
      <c r="B54" s="57" t="s">
        <v>246</v>
      </c>
      <c r="C54" s="57" t="s">
        <v>249</v>
      </c>
      <c r="D54" s="58" t="s">
        <v>247</v>
      </c>
    </row>
    <row r="56" spans="1:14">
      <c r="A56" s="77" t="s">
        <v>591</v>
      </c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103"/>
    </row>
    <row r="57" spans="1:14">
      <c r="A57" s="79"/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104"/>
    </row>
    <row r="59" ht="17.6" spans="1:14">
      <c r="A59" s="100" t="s">
        <v>592</v>
      </c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</row>
    <row r="60" spans="1:14">
      <c r="A60" s="64" t="s">
        <v>70</v>
      </c>
      <c r="B60" s="64" t="s">
        <v>593</v>
      </c>
      <c r="C60" s="64" t="s">
        <v>594</v>
      </c>
      <c r="D60" s="64" t="s">
        <v>595</v>
      </c>
      <c r="E60" s="64" t="s">
        <v>596</v>
      </c>
      <c r="F60" s="64" t="s">
        <v>597</v>
      </c>
    </row>
    <row r="61" ht="28" spans="1:14">
      <c r="A61" s="65">
        <v>1</v>
      </c>
      <c r="B61" s="4" t="s">
        <v>768</v>
      </c>
      <c r="C61" s="4" t="s">
        <v>783</v>
      </c>
      <c r="D61" s="4" t="s">
        <v>784</v>
      </c>
      <c r="E61" s="4" t="s">
        <v>785</v>
      </c>
      <c r="F61" s="47" t="s">
        <v>786</v>
      </c>
    </row>
    <row r="62" ht="28" spans="1:14">
      <c r="A62" s="66">
        <v>2</v>
      </c>
      <c r="B62" s="12" t="s">
        <v>787</v>
      </c>
      <c r="C62" s="12" t="s">
        <v>788</v>
      </c>
      <c r="D62" s="12" t="s">
        <v>789</v>
      </c>
      <c r="E62" s="12" t="s">
        <v>790</v>
      </c>
      <c r="F62" s="49" t="s">
        <v>791</v>
      </c>
    </row>
    <row r="63" ht="28" spans="1:14">
      <c r="A63" s="66">
        <v>3</v>
      </c>
      <c r="B63" s="12" t="s">
        <v>792</v>
      </c>
      <c r="C63" s="12" t="s">
        <v>793</v>
      </c>
      <c r="D63" s="12" t="s">
        <v>794</v>
      </c>
      <c r="E63" s="12" t="s">
        <v>795</v>
      </c>
      <c r="F63" s="49" t="s">
        <v>796</v>
      </c>
    </row>
    <row r="64" ht="28" spans="1:14">
      <c r="A64" s="67">
        <v>4</v>
      </c>
      <c r="B64" s="22" t="s">
        <v>797</v>
      </c>
      <c r="C64" s="22" t="s">
        <v>798</v>
      </c>
      <c r="D64" s="22" t="s">
        <v>799</v>
      </c>
      <c r="E64" s="22" t="s">
        <v>800</v>
      </c>
      <c r="F64" s="51" t="s">
        <v>190</v>
      </c>
    </row>
    <row r="67" ht="17.6" spans="1:14">
      <c r="A67" s="101" t="s">
        <v>623</v>
      </c>
      <c r="B67" s="101"/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</row>
    <row r="68" spans="1:14">
      <c r="A68" s="68" t="s">
        <v>70</v>
      </c>
      <c r="B68" s="68" t="s">
        <v>624</v>
      </c>
      <c r="C68" s="68" t="s">
        <v>625</v>
      </c>
      <c r="D68" s="68" t="s">
        <v>626</v>
      </c>
      <c r="E68" s="68" t="s">
        <v>627</v>
      </c>
      <c r="F68" s="68" t="s">
        <v>628</v>
      </c>
    </row>
    <row r="69" ht="28" spans="1:14">
      <c r="A69" s="65">
        <v>1</v>
      </c>
      <c r="B69" s="4" t="s">
        <v>801</v>
      </c>
      <c r="C69" s="4" t="s">
        <v>802</v>
      </c>
      <c r="D69" s="4" t="s">
        <v>803</v>
      </c>
      <c r="E69" s="4" t="s">
        <v>804</v>
      </c>
      <c r="F69" s="47" t="s">
        <v>805</v>
      </c>
    </row>
    <row r="70" ht="28" spans="1:14">
      <c r="A70" s="66">
        <v>2</v>
      </c>
      <c r="B70" s="12" t="s">
        <v>806</v>
      </c>
      <c r="C70" s="12" t="s">
        <v>807</v>
      </c>
      <c r="D70" s="12" t="s">
        <v>808</v>
      </c>
      <c r="E70" s="12" t="s">
        <v>809</v>
      </c>
      <c r="F70" s="49" t="s">
        <v>810</v>
      </c>
    </row>
    <row r="71" ht="28" spans="1:14">
      <c r="A71" s="67">
        <v>3</v>
      </c>
      <c r="B71" s="22" t="s">
        <v>811</v>
      </c>
      <c r="C71" s="22" t="s">
        <v>812</v>
      </c>
      <c r="D71" s="22" t="s">
        <v>813</v>
      </c>
      <c r="E71" s="22" t="s">
        <v>814</v>
      </c>
      <c r="F71" s="51" t="s">
        <v>815</v>
      </c>
    </row>
    <row r="73" spans="1:14">
      <c r="A73" s="105" t="s">
        <v>654</v>
      </c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7"/>
    </row>
    <row r="74" spans="1:14">
      <c r="A74" s="108"/>
      <c r="B74" s="109"/>
      <c r="C74" s="109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10"/>
    </row>
  </sheetData>
  <mergeCells count="12">
    <mergeCell ref="A1:N1"/>
    <mergeCell ref="A2:N2"/>
    <mergeCell ref="A16:N16"/>
    <mergeCell ref="H32:N32"/>
    <mergeCell ref="A35:N35"/>
    <mergeCell ref="A45:N45"/>
    <mergeCell ref="A52:N52"/>
    <mergeCell ref="A59:N59"/>
    <mergeCell ref="A67:N67"/>
    <mergeCell ref="G4:N14"/>
    <mergeCell ref="A56:N57"/>
    <mergeCell ref="A73:N74"/>
  </mergeCells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2"/>
  <sheetViews>
    <sheetView showGridLines="0" workbookViewId="0">
      <selection activeCell="F22" sqref="F22"/>
    </sheetView>
  </sheetViews>
  <sheetFormatPr defaultColWidth="9" defaultRowHeight="16.8"/>
  <cols>
    <col min="1" max="1" width="13" customWidth="1"/>
    <col min="2" max="2" width="25" customWidth="1"/>
    <col min="3" max="4" width="31" customWidth="1"/>
    <col min="5" max="5" width="29" customWidth="1"/>
    <col min="6" max="6" width="23" customWidth="1"/>
    <col min="7" max="7" width="3" customWidth="1"/>
    <col min="8" max="14" width="17" customWidth="1"/>
  </cols>
  <sheetData>
    <row r="1" ht="23.2" spans="1:14">
      <c r="A1" s="1" t="s">
        <v>305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816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4">
      <c r="A4" s="3" t="s">
        <v>125</v>
      </c>
      <c r="B4" s="4" t="s">
        <v>133</v>
      </c>
      <c r="C4" s="5"/>
      <c r="D4" s="6" t="s">
        <v>503</v>
      </c>
      <c r="E4" s="7"/>
      <c r="G4" s="8" t="s">
        <v>817</v>
      </c>
      <c r="H4" s="9"/>
      <c r="I4" s="9"/>
      <c r="J4" s="9"/>
      <c r="K4" s="9"/>
      <c r="L4" s="9"/>
      <c r="M4" s="9"/>
      <c r="N4" s="10"/>
    </row>
    <row r="5" spans="1:14">
      <c r="A5" s="11" t="s">
        <v>178</v>
      </c>
      <c r="B5" s="12" t="s">
        <v>195</v>
      </c>
      <c r="C5" s="13"/>
      <c r="D5" s="14" t="s">
        <v>505</v>
      </c>
      <c r="E5" s="15" t="str">
        <f>HYPERLINK("#'Master'!A1","← Về Master")</f>
        <v>← Về Master</v>
      </c>
      <c r="G5" s="16"/>
      <c r="H5" s="17"/>
      <c r="I5" s="17"/>
      <c r="J5" s="17"/>
      <c r="K5" s="17"/>
      <c r="L5" s="17"/>
      <c r="M5" s="17"/>
      <c r="N5" s="18"/>
    </row>
    <row r="6" spans="1:14">
      <c r="A6" s="11" t="s">
        <v>179</v>
      </c>
      <c r="B6" s="12" t="s">
        <v>196</v>
      </c>
      <c r="C6" s="13"/>
      <c r="D6" s="14" t="s">
        <v>506</v>
      </c>
      <c r="E6" s="15" t="str">
        <f>HYPERLINK("https://github.com/brucemakeurname/AI-media-Agent/blob/main/PRODUCTION/goal/%5Bsocial%5D_%5Bsingle-static%5D.md","Mở goal trên repo")</f>
        <v>Mở goal trên repo</v>
      </c>
      <c r="G6" s="16"/>
      <c r="H6" s="17"/>
      <c r="I6" s="17"/>
      <c r="J6" s="17"/>
      <c r="K6" s="17"/>
      <c r="L6" s="17"/>
      <c r="M6" s="17"/>
      <c r="N6" s="18"/>
    </row>
    <row r="7" spans="1:14">
      <c r="A7" s="11" t="s">
        <v>182</v>
      </c>
      <c r="B7" s="19">
        <v>46222</v>
      </c>
      <c r="C7" s="13"/>
      <c r="D7" s="14" t="s">
        <v>507</v>
      </c>
      <c r="E7" s="15" t="str">
        <f>HYPERLINK("file:///Users/test/Documents/AI Media/Hoài Nam/INFRA/DOCS/social-single-static/social-single-static-WORKFLOW-DIAGRAM.png","Mở demo/diagram")</f>
        <v>Mở demo/diagram</v>
      </c>
      <c r="G7" s="16"/>
      <c r="H7" s="17"/>
      <c r="I7" s="17"/>
      <c r="J7" s="17"/>
      <c r="K7" s="17"/>
      <c r="L7" s="17"/>
      <c r="M7" s="17"/>
      <c r="N7" s="18"/>
    </row>
    <row r="8" spans="1:14">
      <c r="A8" s="11" t="s">
        <v>183</v>
      </c>
      <c r="B8" s="19"/>
      <c r="C8" s="13"/>
      <c r="D8" s="14" t="s">
        <v>508</v>
      </c>
      <c r="E8" s="15" t="str">
        <f>HYPERLINK("https://github.com/brucemakeurname/AI-media-Agent/blob/main/DOCS/social-single-static/HDSD.md","Mở HDSD/source")</f>
        <v>Mở HDSD/source</v>
      </c>
      <c r="G8" s="16"/>
      <c r="H8" s="17"/>
      <c r="I8" s="17"/>
      <c r="J8" s="17"/>
      <c r="K8" s="17"/>
      <c r="L8" s="17"/>
      <c r="M8" s="17"/>
      <c r="N8" s="18"/>
    </row>
    <row r="9" ht="28" spans="1:14">
      <c r="A9" s="11" t="s">
        <v>189</v>
      </c>
      <c r="B9" s="12" t="s">
        <v>310</v>
      </c>
      <c r="C9" s="13"/>
      <c r="D9" s="13"/>
      <c r="E9" s="20"/>
      <c r="G9" s="16"/>
      <c r="H9" s="17"/>
      <c r="I9" s="17"/>
      <c r="J9" s="17"/>
      <c r="K9" s="17"/>
      <c r="L9" s="17"/>
      <c r="M9" s="17"/>
      <c r="N9" s="18"/>
    </row>
    <row r="10" ht="28" spans="1:14">
      <c r="A10" s="11" t="s">
        <v>185</v>
      </c>
      <c r="B10" s="12" t="s">
        <v>818</v>
      </c>
      <c r="C10" s="13"/>
      <c r="D10" s="13"/>
      <c r="E10" s="20"/>
      <c r="G10" s="16"/>
      <c r="H10" s="17"/>
      <c r="I10" s="17"/>
      <c r="J10" s="17"/>
      <c r="K10" s="17"/>
      <c r="L10" s="17"/>
      <c r="M10" s="17"/>
      <c r="N10" s="18"/>
    </row>
    <row r="11" ht="28" spans="1:14">
      <c r="A11" s="11" t="s">
        <v>510</v>
      </c>
      <c r="B11" s="12" t="s">
        <v>306</v>
      </c>
      <c r="C11" s="13"/>
      <c r="D11" s="13"/>
      <c r="E11" s="20"/>
      <c r="G11" s="16"/>
      <c r="H11" s="17"/>
      <c r="I11" s="17"/>
      <c r="J11" s="17"/>
      <c r="K11" s="17"/>
      <c r="L11" s="17"/>
      <c r="M11" s="17"/>
      <c r="N11" s="18"/>
    </row>
    <row r="12" ht="28" spans="1:14">
      <c r="A12" s="11" t="s">
        <v>511</v>
      </c>
      <c r="B12" s="12" t="s">
        <v>819</v>
      </c>
      <c r="C12" s="13"/>
      <c r="D12" s="13"/>
      <c r="E12" s="20"/>
      <c r="G12" s="16"/>
      <c r="H12" s="17"/>
      <c r="I12" s="17"/>
      <c r="J12" s="17"/>
      <c r="K12" s="17"/>
      <c r="L12" s="17"/>
      <c r="M12" s="17"/>
      <c r="N12" s="18"/>
    </row>
    <row r="13" ht="28" spans="1:14">
      <c r="A13" s="11" t="s">
        <v>513</v>
      </c>
      <c r="B13" s="12" t="s">
        <v>309</v>
      </c>
      <c r="C13" s="13"/>
      <c r="D13" s="13"/>
      <c r="E13" s="20"/>
      <c r="G13" s="16"/>
      <c r="H13" s="17"/>
      <c r="I13" s="17"/>
      <c r="J13" s="17"/>
      <c r="K13" s="17"/>
      <c r="L13" s="17"/>
      <c r="M13" s="17"/>
      <c r="N13" s="18"/>
    </row>
    <row r="14" spans="1:14">
      <c r="A14" s="21" t="s">
        <v>190</v>
      </c>
      <c r="B14" s="22" t="s">
        <v>311</v>
      </c>
      <c r="C14" s="23"/>
      <c r="D14" s="23"/>
      <c r="E14" s="24"/>
      <c r="G14" s="25"/>
      <c r="H14" s="26"/>
      <c r="I14" s="26"/>
      <c r="J14" s="26"/>
      <c r="K14" s="26"/>
      <c r="L14" s="26"/>
      <c r="M14" s="26"/>
      <c r="N14" s="27"/>
    </row>
    <row r="16" ht="17.6" spans="1:14">
      <c r="A16" s="28" t="s">
        <v>514</v>
      </c>
      <c r="B16" s="28"/>
      <c r="C16" s="28"/>
      <c r="D16" s="28"/>
      <c r="E16" s="28"/>
      <c r="F16" s="28"/>
      <c r="G16" s="29"/>
      <c r="H16" s="29"/>
      <c r="I16" s="29"/>
      <c r="J16" s="29"/>
      <c r="K16" s="29"/>
      <c r="L16" s="29"/>
      <c r="M16" s="29"/>
      <c r="N16" s="29"/>
    </row>
    <row r="17" spans="1:14">
      <c r="A17" s="30" t="s">
        <v>516</v>
      </c>
      <c r="B17" s="30" t="s">
        <v>517</v>
      </c>
      <c r="C17" s="30" t="s">
        <v>518</v>
      </c>
      <c r="D17" s="30" t="s">
        <v>519</v>
      </c>
      <c r="E17" s="30" t="s">
        <v>520</v>
      </c>
      <c r="F17" s="30" t="s">
        <v>521</v>
      </c>
    </row>
    <row r="18" spans="1:14">
      <c r="A18" s="31">
        <v>1</v>
      </c>
      <c r="B18" s="32" t="s">
        <v>746</v>
      </c>
      <c r="C18" s="32" t="s">
        <v>523</v>
      </c>
      <c r="D18" s="32" t="s">
        <v>354</v>
      </c>
      <c r="E18" s="32" t="s">
        <v>524</v>
      </c>
      <c r="F18" s="33" t="s">
        <v>525</v>
      </c>
    </row>
    <row r="19" spans="1:14">
      <c r="A19" s="34">
        <v>2</v>
      </c>
      <c r="B19" s="35" t="s">
        <v>820</v>
      </c>
      <c r="C19" s="35" t="s">
        <v>527</v>
      </c>
      <c r="D19" s="35" t="s">
        <v>379</v>
      </c>
      <c r="E19" s="35" t="s">
        <v>524</v>
      </c>
      <c r="F19" s="36" t="s">
        <v>525</v>
      </c>
    </row>
    <row r="20" spans="1:14">
      <c r="A20" s="37">
        <v>3</v>
      </c>
      <c r="B20" s="38" t="s">
        <v>821</v>
      </c>
      <c r="C20" s="38" t="s">
        <v>527</v>
      </c>
      <c r="D20" s="38" t="s">
        <v>374</v>
      </c>
      <c r="E20" s="38" t="s">
        <v>524</v>
      </c>
      <c r="F20" s="39" t="s">
        <v>525</v>
      </c>
    </row>
    <row r="21" spans="1:14">
      <c r="A21" s="34">
        <v>4</v>
      </c>
      <c r="B21" s="35" t="s">
        <v>822</v>
      </c>
      <c r="C21" s="35" t="s">
        <v>527</v>
      </c>
      <c r="D21" s="35" t="s">
        <v>383</v>
      </c>
      <c r="E21" s="35" t="s">
        <v>524</v>
      </c>
      <c r="F21" s="36" t="s">
        <v>525</v>
      </c>
    </row>
    <row r="22" spans="1:14">
      <c r="A22" s="74">
        <v>5</v>
      </c>
      <c r="B22" s="75" t="s">
        <v>823</v>
      </c>
      <c r="C22" s="75" t="s">
        <v>527</v>
      </c>
      <c r="D22" s="75" t="s">
        <v>388</v>
      </c>
      <c r="E22" s="75" t="s">
        <v>533</v>
      </c>
      <c r="F22" s="76" t="s">
        <v>534</v>
      </c>
    </row>
    <row r="32" spans="1:14">
      <c r="H32" s="43" t="s">
        <v>824</v>
      </c>
      <c r="I32" s="43"/>
      <c r="J32" s="43"/>
      <c r="K32" s="43"/>
      <c r="L32" s="43"/>
      <c r="M32" s="43"/>
      <c r="N32" s="43"/>
    </row>
    <row r="35" ht="17.6" spans="1:14">
      <c r="A35" s="44" t="s">
        <v>535</v>
      </c>
      <c r="B35" s="44"/>
      <c r="C35" s="44"/>
      <c r="D35" s="44"/>
      <c r="E35" s="44"/>
      <c r="F35" s="29"/>
      <c r="G35" s="29"/>
      <c r="H35" s="29"/>
      <c r="I35" s="29"/>
      <c r="J35" s="29"/>
      <c r="K35" s="29"/>
      <c r="L35" s="29"/>
      <c r="M35" s="29"/>
      <c r="N35" s="29"/>
    </row>
    <row r="36" spans="1:14">
      <c r="A36" s="45" t="s">
        <v>516</v>
      </c>
      <c r="B36" s="45" t="s">
        <v>536</v>
      </c>
      <c r="C36" s="45" t="s">
        <v>518</v>
      </c>
      <c r="D36" s="45" t="s">
        <v>537</v>
      </c>
      <c r="E36" s="45" t="s">
        <v>42</v>
      </c>
    </row>
    <row r="37" spans="1:14">
      <c r="A37" s="46" t="s">
        <v>538</v>
      </c>
      <c r="B37" s="4" t="s">
        <v>825</v>
      </c>
      <c r="C37" s="4" t="s">
        <v>826</v>
      </c>
      <c r="D37" s="4" t="s">
        <v>827</v>
      </c>
      <c r="E37" s="47" t="s">
        <v>542</v>
      </c>
    </row>
    <row r="38" spans="1:14">
      <c r="A38" s="48" t="s">
        <v>543</v>
      </c>
      <c r="B38" s="12" t="s">
        <v>828</v>
      </c>
      <c r="C38" s="12" t="s">
        <v>829</v>
      </c>
      <c r="D38" s="12" t="s">
        <v>830</v>
      </c>
      <c r="E38" s="49" t="s">
        <v>542</v>
      </c>
    </row>
    <row r="39" spans="1:14">
      <c r="A39" s="48" t="s">
        <v>547</v>
      </c>
      <c r="B39" s="12" t="s">
        <v>831</v>
      </c>
      <c r="C39" s="12" t="s">
        <v>832</v>
      </c>
      <c r="D39" s="12" t="s">
        <v>833</v>
      </c>
      <c r="E39" s="49" t="s">
        <v>762</v>
      </c>
    </row>
    <row r="40" spans="1:14">
      <c r="A40" s="50" t="s">
        <v>552</v>
      </c>
      <c r="B40" s="22" t="s">
        <v>834</v>
      </c>
      <c r="C40" s="22" t="s">
        <v>835</v>
      </c>
      <c r="D40" s="22" t="s">
        <v>836</v>
      </c>
      <c r="E40" s="51" t="s">
        <v>767</v>
      </c>
    </row>
    <row r="44" ht="17.6" spans="1:14">
      <c r="A44" s="52" t="s">
        <v>562</v>
      </c>
      <c r="B44" s="52"/>
      <c r="C44" s="52"/>
      <c r="D44" s="52"/>
      <c r="E44" s="52"/>
      <c r="F44" s="29"/>
      <c r="G44" s="29"/>
      <c r="H44" s="29"/>
      <c r="I44" s="29"/>
      <c r="J44" s="29"/>
      <c r="K44" s="29"/>
      <c r="L44" s="29"/>
      <c r="M44" s="29"/>
      <c r="N44" s="29"/>
    </row>
    <row r="45" spans="1:14">
      <c r="A45" s="53" t="s">
        <v>563</v>
      </c>
      <c r="B45" s="53" t="s">
        <v>564</v>
      </c>
      <c r="C45" s="53" t="s">
        <v>565</v>
      </c>
      <c r="D45" s="53" t="s">
        <v>566</v>
      </c>
      <c r="E45" s="53" t="s">
        <v>567</v>
      </c>
    </row>
    <row r="46" ht="28" spans="1:14">
      <c r="A46" s="46" t="s">
        <v>837</v>
      </c>
      <c r="B46" s="4" t="s">
        <v>838</v>
      </c>
      <c r="C46" s="4" t="s">
        <v>839</v>
      </c>
      <c r="D46" s="4" t="s">
        <v>840</v>
      </c>
      <c r="E46" s="47" t="s">
        <v>841</v>
      </c>
    </row>
    <row r="47" spans="1:14">
      <c r="A47" s="48" t="s">
        <v>842</v>
      </c>
      <c r="B47" s="12" t="s">
        <v>843</v>
      </c>
      <c r="C47" s="12" t="s">
        <v>844</v>
      </c>
      <c r="D47" s="12" t="s">
        <v>845</v>
      </c>
      <c r="E47" s="49" t="s">
        <v>846</v>
      </c>
    </row>
    <row r="48" spans="1:14">
      <c r="A48" s="50" t="s">
        <v>847</v>
      </c>
      <c r="B48" s="22" t="s">
        <v>848</v>
      </c>
      <c r="C48" s="22" t="s">
        <v>849</v>
      </c>
      <c r="D48" s="22" t="s">
        <v>850</v>
      </c>
      <c r="E48" s="51" t="s">
        <v>782</v>
      </c>
    </row>
    <row r="51" ht="17.6" spans="1:14">
      <c r="A51" s="54" t="s">
        <v>588</v>
      </c>
      <c r="B51" s="54"/>
      <c r="C51" s="54"/>
      <c r="D51" s="54"/>
      <c r="E51" s="29"/>
      <c r="F51" s="29"/>
      <c r="G51" s="29"/>
      <c r="H51" s="29"/>
      <c r="I51" s="29"/>
      <c r="J51" s="29"/>
      <c r="K51" s="29"/>
      <c r="L51" s="29"/>
      <c r="M51" s="29"/>
      <c r="N51" s="29"/>
    </row>
    <row r="52" spans="1:14">
      <c r="A52" s="55" t="s">
        <v>186</v>
      </c>
      <c r="B52" s="55" t="s">
        <v>187</v>
      </c>
      <c r="C52" s="55" t="s">
        <v>589</v>
      </c>
      <c r="D52" s="55" t="s">
        <v>590</v>
      </c>
    </row>
    <row r="53" ht="123" spans="1:14">
      <c r="A53" s="56" t="s">
        <v>276</v>
      </c>
      <c r="B53" s="57" t="s">
        <v>308</v>
      </c>
      <c r="C53" s="57" t="s">
        <v>311</v>
      </c>
      <c r="D53" s="58" t="s">
        <v>851</v>
      </c>
    </row>
    <row r="55" ht="204" spans="1:14">
      <c r="A55" s="77" t="s">
        <v>591</v>
      </c>
      <c r="B55" s="78"/>
      <c r="C55" s="78"/>
      <c r="D55" s="78"/>
      <c r="E55" s="78"/>
      <c r="F55" s="78"/>
      <c r="G55" s="61"/>
      <c r="H55" s="61"/>
      <c r="I55" s="61"/>
      <c r="J55" s="61"/>
      <c r="K55" s="61"/>
      <c r="L55" s="61"/>
      <c r="M55" s="61"/>
      <c r="N55" s="61"/>
    </row>
    <row r="56" spans="1:14">
      <c r="A56" s="79"/>
      <c r="B56" s="80"/>
      <c r="C56" s="80"/>
      <c r="D56" s="80"/>
      <c r="E56" s="80"/>
      <c r="F56" s="80"/>
      <c r="G56" s="61"/>
      <c r="H56" s="61"/>
      <c r="I56" s="61"/>
      <c r="J56" s="61"/>
      <c r="K56" s="61"/>
      <c r="L56" s="61"/>
      <c r="M56" s="61"/>
      <c r="N56" s="61"/>
    </row>
    <row r="58" ht="17.6" spans="1:14">
      <c r="A58" s="44" t="s">
        <v>592</v>
      </c>
      <c r="B58" s="44"/>
      <c r="C58" s="44"/>
      <c r="D58" s="44"/>
      <c r="E58" s="44"/>
      <c r="F58" s="44"/>
      <c r="G58" s="29"/>
      <c r="H58" s="29"/>
      <c r="I58" s="29"/>
      <c r="J58" s="29"/>
      <c r="K58" s="29"/>
      <c r="L58" s="29"/>
      <c r="M58" s="29"/>
      <c r="N58" s="29"/>
    </row>
    <row r="59" spans="1:14">
      <c r="A59" s="64" t="s">
        <v>70</v>
      </c>
      <c r="B59" s="64" t="s">
        <v>593</v>
      </c>
      <c r="C59" s="64" t="s">
        <v>594</v>
      </c>
      <c r="D59" s="64" t="s">
        <v>595</v>
      </c>
      <c r="E59" s="64" t="s">
        <v>596</v>
      </c>
      <c r="F59" s="64" t="s">
        <v>597</v>
      </c>
      <c r="G59" s="81"/>
      <c r="H59" s="81"/>
      <c r="I59" s="81"/>
      <c r="J59" s="81"/>
      <c r="K59" s="81"/>
      <c r="L59" s="81"/>
      <c r="M59" s="81"/>
      <c r="N59" s="81"/>
    </row>
    <row r="60" ht="28" spans="1:14">
      <c r="A60" s="65">
        <v>1</v>
      </c>
      <c r="B60" s="4" t="s">
        <v>852</v>
      </c>
      <c r="C60" s="4" t="s">
        <v>853</v>
      </c>
      <c r="D60" s="4" t="s">
        <v>854</v>
      </c>
      <c r="E60" s="4" t="s">
        <v>855</v>
      </c>
      <c r="F60" s="47" t="s">
        <v>856</v>
      </c>
    </row>
    <row r="61" ht="28" spans="1:14">
      <c r="A61" s="66">
        <v>2</v>
      </c>
      <c r="B61" s="12" t="s">
        <v>857</v>
      </c>
      <c r="C61" s="12" t="s">
        <v>858</v>
      </c>
      <c r="D61" s="12" t="s">
        <v>859</v>
      </c>
      <c r="E61" s="12" t="s">
        <v>860</v>
      </c>
      <c r="F61" s="49" t="s">
        <v>786</v>
      </c>
    </row>
    <row r="62" ht="28" spans="1:14">
      <c r="A62" s="67">
        <v>3</v>
      </c>
      <c r="B62" s="22" t="s">
        <v>861</v>
      </c>
      <c r="C62" s="22" t="s">
        <v>862</v>
      </c>
      <c r="D62" s="22" t="s">
        <v>863</v>
      </c>
      <c r="E62" s="22" t="s">
        <v>864</v>
      </c>
      <c r="F62" s="51" t="s">
        <v>865</v>
      </c>
    </row>
    <row r="65" ht="17.6" spans="1:14">
      <c r="A65" s="52" t="s">
        <v>623</v>
      </c>
      <c r="B65" s="52"/>
      <c r="C65" s="52"/>
      <c r="D65" s="52"/>
      <c r="E65" s="52"/>
      <c r="F65" s="52"/>
      <c r="G65" s="29"/>
      <c r="H65" s="29"/>
      <c r="I65" s="29"/>
      <c r="J65" s="29"/>
      <c r="K65" s="29"/>
      <c r="L65" s="29"/>
      <c r="M65" s="29"/>
      <c r="N65" s="29"/>
    </row>
    <row r="66" spans="1:14">
      <c r="A66" s="68" t="s">
        <v>70</v>
      </c>
      <c r="B66" s="68" t="s">
        <v>624</v>
      </c>
      <c r="C66" s="68" t="s">
        <v>625</v>
      </c>
      <c r="D66" s="68" t="s">
        <v>626</v>
      </c>
      <c r="E66" s="68" t="s">
        <v>627</v>
      </c>
      <c r="F66" s="68" t="s">
        <v>628</v>
      </c>
    </row>
    <row r="67" ht="28" spans="1:14">
      <c r="A67" s="65">
        <v>1</v>
      </c>
      <c r="B67" s="4" t="s">
        <v>866</v>
      </c>
      <c r="C67" s="4" t="s">
        <v>867</v>
      </c>
      <c r="D67" s="4" t="s">
        <v>868</v>
      </c>
      <c r="E67" s="4" t="s">
        <v>869</v>
      </c>
      <c r="F67" s="47" t="s">
        <v>870</v>
      </c>
    </row>
    <row r="68" spans="1:14">
      <c r="A68" s="66">
        <v>2</v>
      </c>
      <c r="B68" s="12" t="s">
        <v>871</v>
      </c>
      <c r="C68" s="12" t="s">
        <v>872</v>
      </c>
      <c r="D68" s="12" t="s">
        <v>873</v>
      </c>
      <c r="E68" s="12" t="s">
        <v>874</v>
      </c>
      <c r="F68" s="49" t="s">
        <v>875</v>
      </c>
    </row>
    <row r="69" spans="1:14">
      <c r="A69" s="67">
        <v>3</v>
      </c>
      <c r="B69" s="22" t="s">
        <v>876</v>
      </c>
      <c r="C69" s="22" t="s">
        <v>877</v>
      </c>
      <c r="D69" s="22" t="s">
        <v>878</v>
      </c>
      <c r="E69" s="22" t="s">
        <v>879</v>
      </c>
      <c r="F69" s="51" t="s">
        <v>736</v>
      </c>
    </row>
    <row r="71" spans="1:14">
      <c r="A71" s="82" t="s">
        <v>654</v>
      </c>
      <c r="B71" s="83"/>
      <c r="C71" s="83"/>
      <c r="D71" s="83"/>
      <c r="E71" s="83"/>
      <c r="F71" s="83"/>
      <c r="G71" s="83"/>
      <c r="H71" s="84"/>
      <c r="I71" s="84"/>
      <c r="J71" s="84"/>
      <c r="K71" s="84"/>
      <c r="L71" s="84"/>
      <c r="M71" s="84"/>
      <c r="N71" s="84"/>
    </row>
    <row r="72" spans="1:14">
      <c r="A72" s="85"/>
      <c r="B72" s="86"/>
      <c r="C72" s="86"/>
      <c r="D72" s="86"/>
      <c r="E72" s="86"/>
      <c r="F72" s="86"/>
      <c r="G72" s="86"/>
      <c r="H72" s="84"/>
      <c r="I72" s="84"/>
      <c r="J72" s="84"/>
      <c r="K72" s="84"/>
      <c r="L72" s="84"/>
      <c r="M72" s="84"/>
      <c r="N72" s="84"/>
    </row>
  </sheetData>
  <mergeCells count="5">
    <mergeCell ref="A1:N1"/>
    <mergeCell ref="A2:N2"/>
    <mergeCell ref="H32:N32"/>
    <mergeCell ref="G4:N14"/>
    <mergeCell ref="A71:G7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7"/>
  <sheetViews>
    <sheetView showGridLines="0" workbookViewId="0">
      <selection activeCell="K61" sqref="K61"/>
    </sheetView>
  </sheetViews>
  <sheetFormatPr defaultColWidth="9" defaultRowHeight="16.8"/>
  <cols>
    <col min="1" max="1" width="13" customWidth="1"/>
    <col min="2" max="2" width="25" customWidth="1"/>
    <col min="3" max="4" width="31" customWidth="1"/>
    <col min="5" max="5" width="29" customWidth="1"/>
    <col min="6" max="6" width="23" customWidth="1"/>
    <col min="7" max="7" width="3" customWidth="1"/>
    <col min="8" max="14" width="17" customWidth="1"/>
  </cols>
  <sheetData>
    <row r="1" ht="30" customHeight="1" spans="1:14">
      <c r="A1" s="1" t="s">
        <v>323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30" customHeight="1" spans="1:14">
      <c r="A2" s="2" t="s">
        <v>880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ht="22" customHeight="1" spans="1:14">
      <c r="A4" s="3" t="s">
        <v>125</v>
      </c>
      <c r="B4" s="4" t="s">
        <v>158</v>
      </c>
      <c r="C4" s="5"/>
      <c r="D4" s="6" t="s">
        <v>503</v>
      </c>
      <c r="E4" s="7"/>
      <c r="G4" s="8" t="s">
        <v>881</v>
      </c>
      <c r="H4" s="9"/>
      <c r="I4" s="9"/>
      <c r="J4" s="9"/>
      <c r="K4" s="9"/>
      <c r="L4" s="9"/>
      <c r="M4" s="9"/>
      <c r="N4" s="10"/>
    </row>
    <row r="5" ht="22" customHeight="1" spans="1:14">
      <c r="A5" s="11" t="s">
        <v>178</v>
      </c>
      <c r="B5" s="12" t="s">
        <v>195</v>
      </c>
      <c r="C5" s="13"/>
      <c r="D5" s="14" t="s">
        <v>505</v>
      </c>
      <c r="E5" s="15" t="str">
        <f>HYPERLINK("#'Master'!A1","← Về Master")</f>
        <v>← Về Master</v>
      </c>
      <c r="G5" s="16"/>
      <c r="H5" s="17"/>
      <c r="I5" s="17"/>
      <c r="J5" s="17"/>
      <c r="K5" s="17"/>
      <c r="L5" s="17"/>
      <c r="M5" s="17"/>
      <c r="N5" s="18"/>
    </row>
    <row r="6" ht="22" customHeight="1" spans="1:14">
      <c r="A6" s="11" t="s">
        <v>179</v>
      </c>
      <c r="B6" s="12" t="s">
        <v>196</v>
      </c>
      <c r="C6" s="13"/>
      <c r="D6" s="14" t="s">
        <v>506</v>
      </c>
      <c r="E6" s="15"/>
      <c r="G6" s="16"/>
      <c r="H6" s="17"/>
      <c r="I6" s="17"/>
      <c r="J6" s="17"/>
      <c r="K6" s="17"/>
      <c r="L6" s="17"/>
      <c r="M6" s="17"/>
      <c r="N6" s="18"/>
    </row>
    <row r="7" ht="22" customHeight="1" spans="1:14">
      <c r="A7" s="11" t="s">
        <v>182</v>
      </c>
      <c r="B7" s="19">
        <v>46252</v>
      </c>
      <c r="C7" s="13"/>
      <c r="D7" s="14" t="s">
        <v>507</v>
      </c>
      <c r="E7" s="15" t="str">
        <f>HYPERLINK("file:///Users/test/Documents/AI Media/Hoài Nam/INFRA/DOCS/AI-VIDEO-CREATIVE-WORKFLOWS/AI-VIDEO-CREATIVE-WORKFLOW-DIAGRAM.png","Mở demo/diagram")</f>
        <v>Mở demo/diagram</v>
      </c>
      <c r="G7" s="16"/>
      <c r="H7" s="17"/>
      <c r="I7" s="17"/>
      <c r="J7" s="17"/>
      <c r="K7" s="17"/>
      <c r="L7" s="17"/>
      <c r="M7" s="17"/>
      <c r="N7" s="18"/>
    </row>
    <row r="8" ht="22" customHeight="1" spans="1:14">
      <c r="A8" s="11" t="s">
        <v>183</v>
      </c>
      <c r="B8" s="19"/>
      <c r="C8" s="13"/>
      <c r="D8" s="14" t="s">
        <v>508</v>
      </c>
      <c r="E8" s="15"/>
      <c r="G8" s="16"/>
      <c r="H8" s="17"/>
      <c r="I8" s="17"/>
      <c r="J8" s="17"/>
      <c r="K8" s="17"/>
      <c r="L8" s="17"/>
      <c r="M8" s="17"/>
      <c r="N8" s="18"/>
    </row>
    <row r="9" ht="22" customHeight="1" spans="1:14">
      <c r="A9" s="11" t="s">
        <v>189</v>
      </c>
      <c r="B9" s="12" t="s">
        <v>330</v>
      </c>
      <c r="C9" s="13"/>
      <c r="D9" s="13"/>
      <c r="E9" s="20"/>
      <c r="G9" s="16"/>
      <c r="H9" s="17"/>
      <c r="I9" s="17"/>
      <c r="J9" s="17"/>
      <c r="K9" s="17"/>
      <c r="L9" s="17"/>
      <c r="M9" s="17"/>
      <c r="N9" s="18"/>
    </row>
    <row r="10" ht="22" customHeight="1" spans="1:14">
      <c r="A10" s="11" t="s">
        <v>185</v>
      </c>
      <c r="B10" s="12" t="s">
        <v>54</v>
      </c>
      <c r="C10" s="13"/>
      <c r="D10" s="13"/>
      <c r="E10" s="20"/>
      <c r="G10" s="16"/>
      <c r="H10" s="17"/>
      <c r="I10" s="17"/>
      <c r="J10" s="17"/>
      <c r="K10" s="17"/>
      <c r="L10" s="17"/>
      <c r="M10" s="17"/>
      <c r="N10" s="18"/>
    </row>
    <row r="11" ht="22" customHeight="1" spans="1:14">
      <c r="A11" s="11" t="s">
        <v>510</v>
      </c>
      <c r="B11" s="12" t="s">
        <v>324</v>
      </c>
      <c r="C11" s="13"/>
      <c r="D11" s="13"/>
      <c r="E11" s="20"/>
      <c r="G11" s="16"/>
      <c r="H11" s="17"/>
      <c r="I11" s="17"/>
      <c r="J11" s="17"/>
      <c r="K11" s="17"/>
      <c r="L11" s="17"/>
      <c r="M11" s="17"/>
      <c r="N11" s="18"/>
    </row>
    <row r="12" ht="22" customHeight="1" spans="1:14">
      <c r="A12" s="11" t="s">
        <v>511</v>
      </c>
      <c r="B12" s="12" t="s">
        <v>658</v>
      </c>
      <c r="C12" s="13"/>
      <c r="D12" s="13"/>
      <c r="E12" s="20"/>
      <c r="G12" s="16"/>
      <c r="H12" s="17"/>
      <c r="I12" s="17"/>
      <c r="J12" s="17"/>
      <c r="K12" s="17"/>
      <c r="L12" s="17"/>
      <c r="M12" s="17"/>
      <c r="N12" s="18"/>
    </row>
    <row r="13" ht="22" customHeight="1" spans="1:14">
      <c r="A13" s="11" t="s">
        <v>513</v>
      </c>
      <c r="B13" s="12" t="s">
        <v>329</v>
      </c>
      <c r="C13" s="13"/>
      <c r="D13" s="13"/>
      <c r="E13" s="20"/>
      <c r="G13" s="16"/>
      <c r="H13" s="17"/>
      <c r="I13" s="17"/>
      <c r="J13" s="17"/>
      <c r="K13" s="17"/>
      <c r="L13" s="17"/>
      <c r="M13" s="17"/>
      <c r="N13" s="18"/>
    </row>
    <row r="14" ht="22" customHeight="1" spans="1:14">
      <c r="A14" s="21" t="s">
        <v>190</v>
      </c>
      <c r="B14" s="22" t="s">
        <v>331</v>
      </c>
      <c r="C14" s="23"/>
      <c r="D14" s="23"/>
      <c r="E14" s="24"/>
      <c r="G14" s="25"/>
      <c r="H14" s="26"/>
      <c r="I14" s="26"/>
      <c r="J14" s="26"/>
      <c r="K14" s="26"/>
      <c r="L14" s="26"/>
      <c r="M14" s="26"/>
      <c r="N14" s="27"/>
    </row>
    <row r="16" ht="24" customHeight="1" spans="1:14">
      <c r="A16" s="28" t="s">
        <v>514</v>
      </c>
      <c r="B16" s="28"/>
      <c r="C16" s="28"/>
      <c r="D16" s="28"/>
      <c r="E16" s="28"/>
      <c r="F16" s="28"/>
      <c r="G16" s="29"/>
      <c r="H16" s="29"/>
      <c r="I16" s="29"/>
      <c r="J16" s="29"/>
      <c r="K16" s="29"/>
      <c r="L16" s="29"/>
      <c r="M16" s="29"/>
      <c r="N16" s="29"/>
    </row>
    <row r="17" ht="32" customHeight="1" spans="1:14">
      <c r="A17" s="30" t="s">
        <v>516</v>
      </c>
      <c r="B17" s="30" t="s">
        <v>517</v>
      </c>
      <c r="C17" s="30" t="s">
        <v>518</v>
      </c>
      <c r="D17" s="30" t="s">
        <v>519</v>
      </c>
      <c r="E17" s="30" t="s">
        <v>520</v>
      </c>
      <c r="F17" s="30" t="s">
        <v>521</v>
      </c>
    </row>
    <row r="18" ht="32" customHeight="1" spans="1:14">
      <c r="A18" s="31">
        <v>1</v>
      </c>
      <c r="B18" s="32" t="s">
        <v>882</v>
      </c>
      <c r="C18" s="32" t="s">
        <v>523</v>
      </c>
      <c r="D18" s="32" t="s">
        <v>420</v>
      </c>
      <c r="E18" s="32" t="s">
        <v>524</v>
      </c>
      <c r="F18" s="33" t="s">
        <v>525</v>
      </c>
    </row>
    <row r="19" ht="32" customHeight="1" spans="1:14">
      <c r="A19" s="34">
        <v>2</v>
      </c>
      <c r="B19" s="35" t="s">
        <v>883</v>
      </c>
      <c r="C19" s="35" t="s">
        <v>527</v>
      </c>
      <c r="D19" s="35" t="s">
        <v>425</v>
      </c>
      <c r="E19" s="35" t="s">
        <v>524</v>
      </c>
      <c r="F19" s="36" t="s">
        <v>525</v>
      </c>
    </row>
    <row r="20" ht="32" customHeight="1" spans="1:14">
      <c r="A20" s="37">
        <v>3</v>
      </c>
      <c r="B20" s="38" t="s">
        <v>884</v>
      </c>
      <c r="C20" s="38" t="s">
        <v>527</v>
      </c>
      <c r="D20" s="38" t="s">
        <v>428</v>
      </c>
      <c r="E20" s="38" t="s">
        <v>524</v>
      </c>
      <c r="F20" s="39" t="s">
        <v>525</v>
      </c>
    </row>
    <row r="21" ht="32" customHeight="1" spans="1:14">
      <c r="A21" s="34">
        <v>4</v>
      </c>
      <c r="B21" s="35" t="s">
        <v>885</v>
      </c>
      <c r="C21" s="35" t="s">
        <v>527</v>
      </c>
      <c r="D21" s="35" t="s">
        <v>416</v>
      </c>
      <c r="E21" s="35" t="s">
        <v>524</v>
      </c>
      <c r="F21" s="36" t="s">
        <v>525</v>
      </c>
    </row>
    <row r="22" ht="32" customHeight="1" spans="1:14">
      <c r="A22" s="74">
        <v>5</v>
      </c>
      <c r="B22" s="75" t="s">
        <v>886</v>
      </c>
      <c r="C22" s="75" t="s">
        <v>527</v>
      </c>
      <c r="D22" s="75" t="s">
        <v>431</v>
      </c>
      <c r="E22" s="75" t="s">
        <v>533</v>
      </c>
      <c r="F22" s="76" t="s">
        <v>534</v>
      </c>
    </row>
    <row r="32" spans="1:14">
      <c r="H32" s="43" t="s">
        <v>669</v>
      </c>
      <c r="I32" s="43"/>
      <c r="J32" s="43"/>
      <c r="K32" s="43"/>
      <c r="L32" s="43"/>
      <c r="M32" s="43"/>
      <c r="N32" s="43"/>
    </row>
    <row r="35" ht="24" customHeight="1" spans="1:14">
      <c r="A35" s="44" t="s">
        <v>535</v>
      </c>
      <c r="B35" s="44"/>
      <c r="C35" s="44"/>
      <c r="D35" s="44"/>
      <c r="E35" s="44"/>
      <c r="F35" s="29"/>
      <c r="G35" s="29"/>
      <c r="H35" s="29"/>
      <c r="I35" s="29"/>
      <c r="J35" s="29"/>
      <c r="K35" s="29"/>
      <c r="L35" s="29"/>
      <c r="M35" s="29"/>
      <c r="N35" s="29"/>
    </row>
    <row r="36" ht="34" customHeight="1" spans="1:14">
      <c r="A36" s="45" t="s">
        <v>516</v>
      </c>
      <c r="B36" s="45" t="s">
        <v>536</v>
      </c>
      <c r="C36" s="45" t="s">
        <v>518</v>
      </c>
      <c r="D36" s="45" t="s">
        <v>537</v>
      </c>
      <c r="E36" s="45" t="s">
        <v>42</v>
      </c>
    </row>
    <row r="37" ht="42" customHeight="1" spans="1:14">
      <c r="A37" s="46" t="s">
        <v>538</v>
      </c>
      <c r="B37" s="4" t="s">
        <v>887</v>
      </c>
      <c r="C37" s="4" t="s">
        <v>888</v>
      </c>
      <c r="D37" s="4" t="s">
        <v>889</v>
      </c>
      <c r="E37" s="47" t="s">
        <v>556</v>
      </c>
    </row>
    <row r="38" ht="42" customHeight="1" spans="1:14">
      <c r="A38" s="48" t="s">
        <v>543</v>
      </c>
      <c r="B38" s="12" t="s">
        <v>890</v>
      </c>
      <c r="C38" s="12" t="s">
        <v>891</v>
      </c>
      <c r="D38" s="12" t="s">
        <v>892</v>
      </c>
      <c r="E38" s="49" t="s">
        <v>556</v>
      </c>
    </row>
    <row r="39" ht="42" customHeight="1" spans="1:14">
      <c r="A39" s="48" t="s">
        <v>547</v>
      </c>
      <c r="B39" s="12" t="s">
        <v>893</v>
      </c>
      <c r="C39" s="12" t="s">
        <v>894</v>
      </c>
      <c r="D39" s="12" t="s">
        <v>895</v>
      </c>
      <c r="E39" s="49" t="s">
        <v>556</v>
      </c>
    </row>
    <row r="40" ht="42" customHeight="1" spans="1:14">
      <c r="A40" s="48" t="s">
        <v>552</v>
      </c>
      <c r="B40" s="12" t="s">
        <v>896</v>
      </c>
      <c r="C40" s="12" t="s">
        <v>897</v>
      </c>
      <c r="D40" s="12" t="s">
        <v>898</v>
      </c>
      <c r="E40" s="49" t="s">
        <v>556</v>
      </c>
    </row>
    <row r="41" ht="42" customHeight="1" spans="1:14">
      <c r="A41" s="50" t="s">
        <v>557</v>
      </c>
      <c r="B41" s="22" t="s">
        <v>899</v>
      </c>
      <c r="C41" s="22" t="s">
        <v>900</v>
      </c>
      <c r="D41" s="22" t="s">
        <v>901</v>
      </c>
      <c r="E41" s="51" t="s">
        <v>561</v>
      </c>
    </row>
    <row r="45" ht="24" customHeight="1" spans="1:14">
      <c r="A45" s="52" t="s">
        <v>562</v>
      </c>
      <c r="B45" s="52"/>
      <c r="C45" s="52"/>
      <c r="D45" s="52"/>
      <c r="E45" s="52"/>
      <c r="F45" s="29"/>
      <c r="G45" s="29"/>
      <c r="H45" s="29"/>
      <c r="I45" s="29"/>
      <c r="J45" s="29"/>
      <c r="K45" s="29"/>
      <c r="L45" s="29"/>
      <c r="M45" s="29"/>
      <c r="N45" s="29"/>
    </row>
    <row r="46" ht="34" customHeight="1" spans="1:14">
      <c r="A46" s="53" t="s">
        <v>563</v>
      </c>
      <c r="B46" s="53" t="s">
        <v>564</v>
      </c>
      <c r="C46" s="53" t="s">
        <v>565</v>
      </c>
      <c r="D46" s="53" t="s">
        <v>566</v>
      </c>
      <c r="E46" s="53" t="s">
        <v>567</v>
      </c>
    </row>
    <row r="47" ht="48" customHeight="1" spans="1:14">
      <c r="A47" s="46" t="s">
        <v>902</v>
      </c>
      <c r="B47" s="4" t="s">
        <v>903</v>
      </c>
      <c r="C47" s="4" t="s">
        <v>904</v>
      </c>
      <c r="D47" s="4" t="s">
        <v>905</v>
      </c>
      <c r="E47" s="47" t="s">
        <v>906</v>
      </c>
    </row>
    <row r="48" ht="48" customHeight="1" spans="1:14">
      <c r="A48" s="48" t="s">
        <v>907</v>
      </c>
      <c r="B48" s="12" t="s">
        <v>908</v>
      </c>
      <c r="C48" s="12" t="s">
        <v>909</v>
      </c>
      <c r="D48" s="12" t="s">
        <v>910</v>
      </c>
      <c r="E48" s="49" t="s">
        <v>911</v>
      </c>
    </row>
    <row r="49" ht="48" customHeight="1" spans="1:14">
      <c r="A49" s="48" t="s">
        <v>912</v>
      </c>
      <c r="B49" s="12" t="s">
        <v>913</v>
      </c>
      <c r="C49" s="12" t="s">
        <v>914</v>
      </c>
      <c r="D49" s="12" t="s">
        <v>915</v>
      </c>
      <c r="E49" s="49" t="s">
        <v>916</v>
      </c>
    </row>
    <row r="50" ht="48" customHeight="1" spans="1:14">
      <c r="A50" s="50" t="s">
        <v>917</v>
      </c>
      <c r="B50" s="22" t="s">
        <v>918</v>
      </c>
      <c r="C50" s="22" t="s">
        <v>919</v>
      </c>
      <c r="D50" s="22" t="s">
        <v>920</v>
      </c>
      <c r="E50" s="51" t="s">
        <v>921</v>
      </c>
    </row>
    <row r="53" ht="24" customHeight="1" spans="1:14">
      <c r="A53" s="54" t="s">
        <v>588</v>
      </c>
      <c r="B53" s="54"/>
      <c r="C53" s="54"/>
      <c r="D53" s="54"/>
      <c r="E53" s="29"/>
      <c r="F53" s="29"/>
      <c r="G53" s="29"/>
      <c r="H53" s="29"/>
      <c r="I53" s="29"/>
      <c r="J53" s="29"/>
      <c r="K53" s="29"/>
      <c r="L53" s="29"/>
      <c r="M53" s="29"/>
      <c r="N53" s="29"/>
    </row>
    <row r="54" ht="34" customHeight="1" spans="1:14">
      <c r="A54" s="55" t="s">
        <v>186</v>
      </c>
      <c r="B54" s="55" t="s">
        <v>187</v>
      </c>
      <c r="C54" s="55" t="s">
        <v>589</v>
      </c>
      <c r="D54" s="55" t="s">
        <v>590</v>
      </c>
    </row>
    <row r="55" ht="70" customHeight="1" spans="1:14">
      <c r="A55" s="56" t="s">
        <v>327</v>
      </c>
      <c r="B55" s="57" t="s">
        <v>328</v>
      </c>
      <c r="C55" s="57" t="s">
        <v>331</v>
      </c>
      <c r="D55" s="58" t="s">
        <v>329</v>
      </c>
    </row>
    <row r="57" ht="28" customHeight="1" spans="1:14">
      <c r="A57" s="59" t="s">
        <v>591</v>
      </c>
      <c r="B57" s="60"/>
      <c r="C57" s="60"/>
      <c r="D57" s="60"/>
      <c r="E57" s="60"/>
      <c r="F57" s="60"/>
      <c r="G57" s="61"/>
      <c r="H57" s="61"/>
      <c r="I57" s="61"/>
      <c r="J57" s="61"/>
      <c r="K57" s="61"/>
      <c r="L57" s="61"/>
      <c r="M57" s="61"/>
      <c r="N57" s="61"/>
    </row>
    <row r="58" ht="28" customHeight="1" spans="1:14">
      <c r="A58" s="62"/>
      <c r="B58" s="63"/>
      <c r="C58" s="63"/>
      <c r="D58" s="63"/>
      <c r="E58" s="63"/>
      <c r="F58" s="63"/>
      <c r="G58" s="61"/>
      <c r="H58" s="61"/>
      <c r="I58" s="61"/>
      <c r="J58" s="61"/>
      <c r="K58" s="61"/>
      <c r="L58" s="61"/>
      <c r="M58" s="61"/>
      <c r="N58" s="61"/>
    </row>
    <row r="60" ht="24" customHeight="1" spans="1:14">
      <c r="A60" s="44" t="s">
        <v>592</v>
      </c>
      <c r="B60" s="44"/>
      <c r="C60" s="44"/>
      <c r="D60" s="44"/>
      <c r="E60" s="44"/>
      <c r="F60" s="44"/>
      <c r="G60" s="29"/>
      <c r="H60" s="29"/>
      <c r="I60" s="29"/>
      <c r="J60" s="29"/>
      <c r="K60" s="29"/>
      <c r="L60" s="29"/>
      <c r="M60" s="29"/>
      <c r="N60" s="29"/>
    </row>
    <row r="61" ht="34" customHeight="1" spans="1:14">
      <c r="A61" s="64" t="s">
        <v>70</v>
      </c>
      <c r="B61" s="64" t="s">
        <v>593</v>
      </c>
      <c r="C61" s="64" t="s">
        <v>594</v>
      </c>
      <c r="D61" s="64" t="s">
        <v>595</v>
      </c>
      <c r="E61" s="64" t="s">
        <v>596</v>
      </c>
      <c r="F61" s="64" t="s">
        <v>597</v>
      </c>
    </row>
    <row r="62" ht="64" customHeight="1" spans="1:14">
      <c r="A62" s="65">
        <v>1</v>
      </c>
      <c r="B62" s="4" t="s">
        <v>922</v>
      </c>
      <c r="C62" s="4" t="s">
        <v>923</v>
      </c>
      <c r="D62" s="4" t="s">
        <v>924</v>
      </c>
      <c r="E62" s="4" t="s">
        <v>925</v>
      </c>
      <c r="F62" s="47" t="s">
        <v>612</v>
      </c>
    </row>
    <row r="63" ht="64" customHeight="1" spans="1:14">
      <c r="A63" s="66">
        <v>2</v>
      </c>
      <c r="B63" s="12" t="s">
        <v>926</v>
      </c>
      <c r="C63" s="12" t="s">
        <v>927</v>
      </c>
      <c r="D63" s="12" t="s">
        <v>928</v>
      </c>
      <c r="E63" s="12" t="s">
        <v>929</v>
      </c>
      <c r="F63" s="49" t="s">
        <v>930</v>
      </c>
    </row>
    <row r="64" ht="64" customHeight="1" spans="1:14">
      <c r="A64" s="66">
        <v>3</v>
      </c>
      <c r="B64" s="12" t="s">
        <v>931</v>
      </c>
      <c r="C64" s="12" t="s">
        <v>932</v>
      </c>
      <c r="D64" s="12" t="s">
        <v>933</v>
      </c>
      <c r="E64" s="12" t="s">
        <v>934</v>
      </c>
      <c r="F64" s="49" t="s">
        <v>612</v>
      </c>
    </row>
    <row r="65" ht="64" customHeight="1" spans="1:14">
      <c r="A65" s="66">
        <v>4</v>
      </c>
      <c r="B65" s="12" t="s">
        <v>935</v>
      </c>
      <c r="C65" s="12" t="s">
        <v>936</v>
      </c>
      <c r="D65" s="12" t="s">
        <v>937</v>
      </c>
      <c r="E65" s="12" t="s">
        <v>938</v>
      </c>
      <c r="F65" s="49" t="s">
        <v>939</v>
      </c>
    </row>
    <row r="66" ht="64" customHeight="1" spans="1:14">
      <c r="A66" s="67">
        <v>5</v>
      </c>
      <c r="B66" s="22" t="s">
        <v>940</v>
      </c>
      <c r="C66" s="22" t="s">
        <v>941</v>
      </c>
      <c r="D66" s="22" t="s">
        <v>942</v>
      </c>
      <c r="E66" s="22" t="s">
        <v>943</v>
      </c>
      <c r="F66" s="51" t="s">
        <v>622</v>
      </c>
    </row>
    <row r="69" ht="24" customHeight="1" spans="1:14">
      <c r="A69" s="52" t="s">
        <v>623</v>
      </c>
      <c r="B69" s="52"/>
      <c r="C69" s="52"/>
      <c r="D69" s="52"/>
      <c r="E69" s="52"/>
      <c r="F69" s="52"/>
      <c r="G69" s="29"/>
      <c r="H69" s="29"/>
      <c r="I69" s="29"/>
      <c r="J69" s="29"/>
      <c r="K69" s="29"/>
      <c r="L69" s="29"/>
      <c r="M69" s="29"/>
      <c r="N69" s="29"/>
    </row>
    <row r="70" ht="34" customHeight="1" spans="1:14">
      <c r="A70" s="68" t="s">
        <v>70</v>
      </c>
      <c r="B70" s="68" t="s">
        <v>624</v>
      </c>
      <c r="C70" s="68" t="s">
        <v>625</v>
      </c>
      <c r="D70" s="68" t="s">
        <v>626</v>
      </c>
      <c r="E70" s="68" t="s">
        <v>627</v>
      </c>
      <c r="F70" s="68" t="s">
        <v>628</v>
      </c>
    </row>
    <row r="71" ht="64" customHeight="1" spans="1:14">
      <c r="A71" s="65">
        <v>1</v>
      </c>
      <c r="B71" s="4" t="s">
        <v>944</v>
      </c>
      <c r="C71" s="4" t="s">
        <v>945</v>
      </c>
      <c r="D71" s="4" t="s">
        <v>946</v>
      </c>
      <c r="E71" s="4" t="s">
        <v>947</v>
      </c>
      <c r="F71" s="47" t="s">
        <v>948</v>
      </c>
    </row>
    <row r="72" ht="64" customHeight="1" spans="1:14">
      <c r="A72" s="66">
        <v>2</v>
      </c>
      <c r="B72" s="12" t="s">
        <v>949</v>
      </c>
      <c r="C72" s="12" t="s">
        <v>950</v>
      </c>
      <c r="D72" s="12" t="s">
        <v>951</v>
      </c>
      <c r="E72" s="12" t="s">
        <v>952</v>
      </c>
      <c r="F72" s="49" t="s">
        <v>953</v>
      </c>
    </row>
    <row r="73" ht="64" customHeight="1" spans="1:14">
      <c r="A73" s="66">
        <v>3</v>
      </c>
      <c r="B73" s="12" t="s">
        <v>954</v>
      </c>
      <c r="C73" s="12" t="s">
        <v>955</v>
      </c>
      <c r="D73" s="12" t="s">
        <v>956</v>
      </c>
      <c r="E73" s="12" t="s">
        <v>957</v>
      </c>
      <c r="F73" s="49" t="s">
        <v>958</v>
      </c>
    </row>
    <row r="74" ht="64" customHeight="1" spans="1:14">
      <c r="A74" s="67">
        <v>4</v>
      </c>
      <c r="B74" s="22" t="s">
        <v>959</v>
      </c>
      <c r="C74" s="22" t="s">
        <v>960</v>
      </c>
      <c r="D74" s="22" t="s">
        <v>961</v>
      </c>
      <c r="E74" s="22" t="s">
        <v>962</v>
      </c>
      <c r="F74" s="51" t="s">
        <v>643</v>
      </c>
    </row>
    <row r="76" ht="30" customHeight="1" spans="1:14">
      <c r="A76" s="69" t="s">
        <v>654</v>
      </c>
      <c r="B76" s="70"/>
      <c r="C76" s="70"/>
      <c r="D76" s="70"/>
      <c r="E76" s="70"/>
      <c r="F76" s="70"/>
      <c r="G76" s="71"/>
      <c r="H76" s="71"/>
      <c r="I76" s="71"/>
      <c r="J76" s="71"/>
      <c r="K76" s="71"/>
      <c r="L76" s="71"/>
      <c r="M76" s="71"/>
      <c r="N76" s="71"/>
    </row>
    <row r="77" ht="30" customHeight="1" spans="1:14">
      <c r="A77" s="72"/>
      <c r="B77" s="73"/>
      <c r="C77" s="73"/>
      <c r="D77" s="73"/>
      <c r="E77" s="73"/>
      <c r="F77" s="73"/>
      <c r="G77" s="71"/>
      <c r="H77" s="71"/>
      <c r="I77" s="71"/>
      <c r="J77" s="71"/>
      <c r="K77" s="71"/>
      <c r="L77" s="71"/>
      <c r="M77" s="71"/>
      <c r="N77" s="71"/>
    </row>
  </sheetData>
  <mergeCells count="6">
    <mergeCell ref="A1:N1"/>
    <mergeCell ref="A2:N2"/>
    <mergeCell ref="H32:N32"/>
    <mergeCell ref="G4:N14"/>
    <mergeCell ref="A76:F77"/>
    <mergeCell ref="A57:F58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1"/>
  <sheetViews>
    <sheetView showGridLines="0" topLeftCell="A51" workbookViewId="0">
      <selection activeCell="G67" sqref="G67"/>
    </sheetView>
  </sheetViews>
  <sheetFormatPr defaultColWidth="9" defaultRowHeight="16.8"/>
  <cols>
    <col min="1" max="1" width="13" customWidth="1"/>
    <col min="2" max="2" width="25" customWidth="1"/>
    <col min="3" max="4" width="31" customWidth="1"/>
    <col min="5" max="5" width="29" customWidth="1"/>
    <col min="6" max="6" width="23" customWidth="1"/>
    <col min="7" max="7" width="3" customWidth="1"/>
    <col min="8" max="14" width="17" customWidth="1"/>
  </cols>
  <sheetData>
    <row r="1" ht="30" customHeight="1" spans="1:14">
      <c r="A1" s="1" t="s">
        <v>334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30" customHeight="1" spans="1:14">
      <c r="A2" s="2" t="s">
        <v>963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ht="22" customHeight="1" spans="1:14">
      <c r="A4" s="3" t="s">
        <v>125</v>
      </c>
      <c r="B4" s="4" t="s">
        <v>16</v>
      </c>
      <c r="C4" s="5"/>
      <c r="D4" s="6" t="s">
        <v>503</v>
      </c>
      <c r="E4" s="7"/>
      <c r="G4" s="8" t="s">
        <v>964</v>
      </c>
      <c r="H4" s="9"/>
      <c r="I4" s="9"/>
      <c r="J4" s="9"/>
      <c r="K4" s="9"/>
      <c r="L4" s="9"/>
      <c r="M4" s="9"/>
      <c r="N4" s="10"/>
    </row>
    <row r="5" ht="22" customHeight="1" spans="1:14">
      <c r="A5" s="11" t="s">
        <v>178</v>
      </c>
      <c r="B5" s="12" t="s">
        <v>16</v>
      </c>
      <c r="C5" s="13"/>
      <c r="D5" s="14" t="s">
        <v>505</v>
      </c>
      <c r="E5" s="15" t="str">
        <f>HYPERLINK("#'Master'!A1","← Về Master")</f>
        <v>← Về Master</v>
      </c>
      <c r="G5" s="16"/>
      <c r="H5" s="17"/>
      <c r="I5" s="17"/>
      <c r="J5" s="17"/>
      <c r="K5" s="17"/>
      <c r="L5" s="17"/>
      <c r="M5" s="17"/>
      <c r="N5" s="18"/>
    </row>
    <row r="6" ht="22" customHeight="1" spans="1:14">
      <c r="A6" s="11" t="s">
        <v>179</v>
      </c>
      <c r="B6" s="12" t="s">
        <v>222</v>
      </c>
      <c r="C6" s="13"/>
      <c r="D6" s="14" t="s">
        <v>506</v>
      </c>
      <c r="E6" s="15"/>
      <c r="G6" s="16"/>
      <c r="H6" s="17"/>
      <c r="I6" s="17"/>
      <c r="J6" s="17"/>
      <c r="K6" s="17"/>
      <c r="L6" s="17"/>
      <c r="M6" s="17"/>
      <c r="N6" s="18"/>
    </row>
    <row r="7" ht="22" customHeight="1" spans="1:14">
      <c r="A7" s="11" t="s">
        <v>182</v>
      </c>
      <c r="B7" s="19">
        <v>46252</v>
      </c>
      <c r="C7" s="13"/>
      <c r="D7" s="14" t="s">
        <v>507</v>
      </c>
      <c r="E7" s="15" t="str">
        <f>HYPERLINK("file:///Users/test/Documents/AI Media/Hoài Nam/INFRA/DOCS/AI-VIDEO-CREATIVE-WORKFLOWS/AI-VIDEO-CREATIVE-WORKFLOW-DIAGRAM.png","Mở demo/diagram")</f>
        <v>Mở demo/diagram</v>
      </c>
      <c r="G7" s="16"/>
      <c r="H7" s="17"/>
      <c r="I7" s="17"/>
      <c r="J7" s="17"/>
      <c r="K7" s="17"/>
      <c r="L7" s="17"/>
      <c r="M7" s="17"/>
      <c r="N7" s="18"/>
    </row>
    <row r="8" ht="22" customHeight="1" spans="1:14">
      <c r="A8" s="11" t="s">
        <v>183</v>
      </c>
      <c r="B8" s="19"/>
      <c r="C8" s="13"/>
      <c r="D8" s="14" t="s">
        <v>508</v>
      </c>
      <c r="E8" s="15"/>
      <c r="G8" s="16"/>
      <c r="H8" s="17"/>
      <c r="I8" s="17"/>
      <c r="J8" s="17"/>
      <c r="K8" s="17"/>
      <c r="L8" s="17"/>
      <c r="M8" s="17"/>
      <c r="N8" s="18"/>
    </row>
    <row r="9" ht="22" customHeight="1" spans="1:14">
      <c r="A9" s="11" t="s">
        <v>189</v>
      </c>
      <c r="B9" s="12" t="s">
        <v>339</v>
      </c>
      <c r="C9" s="13"/>
      <c r="D9" s="13"/>
      <c r="E9" s="20"/>
      <c r="G9" s="16"/>
      <c r="H9" s="17"/>
      <c r="I9" s="17"/>
      <c r="J9" s="17"/>
      <c r="K9" s="17"/>
      <c r="L9" s="17"/>
      <c r="M9" s="17"/>
      <c r="N9" s="18"/>
    </row>
    <row r="10" ht="22" customHeight="1" spans="1:14">
      <c r="A10" s="11" t="s">
        <v>185</v>
      </c>
      <c r="B10" s="12" t="s">
        <v>48</v>
      </c>
      <c r="C10" s="13"/>
      <c r="D10" s="13"/>
      <c r="E10" s="20"/>
      <c r="G10" s="16"/>
      <c r="H10" s="17"/>
      <c r="I10" s="17"/>
      <c r="J10" s="17"/>
      <c r="K10" s="17"/>
      <c r="L10" s="17"/>
      <c r="M10" s="17"/>
      <c r="N10" s="18"/>
    </row>
    <row r="11" ht="22" customHeight="1" spans="1:14">
      <c r="A11" s="11" t="s">
        <v>510</v>
      </c>
      <c r="B11" s="12" t="s">
        <v>324</v>
      </c>
      <c r="C11" s="13"/>
      <c r="D11" s="13"/>
      <c r="E11" s="20"/>
      <c r="G11" s="16"/>
      <c r="H11" s="17"/>
      <c r="I11" s="17"/>
      <c r="J11" s="17"/>
      <c r="K11" s="17"/>
      <c r="L11" s="17"/>
      <c r="M11" s="17"/>
      <c r="N11" s="18"/>
    </row>
    <row r="12" ht="22" customHeight="1" spans="1:14">
      <c r="A12" s="11" t="s">
        <v>511</v>
      </c>
      <c r="B12" s="12" t="s">
        <v>658</v>
      </c>
      <c r="C12" s="13"/>
      <c r="D12" s="13"/>
      <c r="E12" s="20"/>
      <c r="G12" s="16"/>
      <c r="H12" s="17"/>
      <c r="I12" s="17"/>
      <c r="J12" s="17"/>
      <c r="K12" s="17"/>
      <c r="L12" s="17"/>
      <c r="M12" s="17"/>
      <c r="N12" s="18"/>
    </row>
    <row r="13" ht="22" customHeight="1" spans="1:14">
      <c r="A13" s="11" t="s">
        <v>513</v>
      </c>
      <c r="B13" s="12" t="s">
        <v>338</v>
      </c>
      <c r="C13" s="13"/>
      <c r="D13" s="13"/>
      <c r="E13" s="20"/>
      <c r="G13" s="16"/>
      <c r="H13" s="17"/>
      <c r="I13" s="17"/>
      <c r="J13" s="17"/>
      <c r="K13" s="17"/>
      <c r="L13" s="17"/>
      <c r="M13" s="17"/>
      <c r="N13" s="18"/>
    </row>
    <row r="14" ht="22" customHeight="1" spans="1:14">
      <c r="A14" s="21" t="s">
        <v>190</v>
      </c>
      <c r="B14" s="22" t="s">
        <v>340</v>
      </c>
      <c r="C14" s="23"/>
      <c r="D14" s="23"/>
      <c r="E14" s="24"/>
      <c r="G14" s="25"/>
      <c r="H14" s="26"/>
      <c r="I14" s="26"/>
      <c r="J14" s="26"/>
      <c r="K14" s="26"/>
      <c r="L14" s="26"/>
      <c r="M14" s="26"/>
      <c r="N14" s="27"/>
    </row>
    <row r="16" ht="24" customHeight="1" spans="1:14">
      <c r="A16" s="28" t="s">
        <v>514</v>
      </c>
      <c r="B16" s="28"/>
      <c r="C16" s="28"/>
      <c r="D16" s="28"/>
      <c r="E16" s="28"/>
      <c r="F16" s="28"/>
      <c r="G16" s="29"/>
      <c r="H16" s="29"/>
      <c r="I16" s="29"/>
      <c r="J16" s="29"/>
      <c r="K16" s="29"/>
      <c r="L16" s="29"/>
      <c r="M16" s="29"/>
      <c r="N16" s="29"/>
    </row>
    <row r="17" ht="32" customHeight="1" spans="1:14">
      <c r="A17" s="30" t="s">
        <v>516</v>
      </c>
      <c r="B17" s="30" t="s">
        <v>517</v>
      </c>
      <c r="C17" s="30" t="s">
        <v>518</v>
      </c>
      <c r="D17" s="30" t="s">
        <v>519</v>
      </c>
      <c r="E17" s="30" t="s">
        <v>520</v>
      </c>
      <c r="F17" s="30" t="s">
        <v>521</v>
      </c>
    </row>
    <row r="18" ht="32" customHeight="1" spans="1:14">
      <c r="A18" s="31">
        <v>1</v>
      </c>
      <c r="B18" s="32" t="s">
        <v>965</v>
      </c>
      <c r="C18" s="32" t="s">
        <v>523</v>
      </c>
      <c r="D18" s="32" t="s">
        <v>447</v>
      </c>
      <c r="E18" s="32" t="s">
        <v>524</v>
      </c>
      <c r="F18" s="33" t="s">
        <v>525</v>
      </c>
    </row>
    <row r="19" ht="32" customHeight="1" spans="1:14">
      <c r="A19" s="34">
        <v>2</v>
      </c>
      <c r="B19" s="35" t="s">
        <v>966</v>
      </c>
      <c r="C19" s="35" t="s">
        <v>527</v>
      </c>
      <c r="D19" s="35" t="s">
        <v>166</v>
      </c>
      <c r="E19" s="35" t="s">
        <v>524</v>
      </c>
      <c r="F19" s="36" t="s">
        <v>525</v>
      </c>
    </row>
    <row r="20" ht="32" customHeight="1" spans="1:14">
      <c r="A20" s="37">
        <v>3</v>
      </c>
      <c r="B20" s="38" t="s">
        <v>967</v>
      </c>
      <c r="C20" s="38" t="s">
        <v>527</v>
      </c>
      <c r="D20" s="38" t="s">
        <v>968</v>
      </c>
      <c r="E20" s="38" t="s">
        <v>524</v>
      </c>
      <c r="F20" s="39" t="s">
        <v>525</v>
      </c>
    </row>
    <row r="21" ht="32" customHeight="1" spans="1:14">
      <c r="A21" s="40">
        <v>4</v>
      </c>
      <c r="B21" s="41" t="s">
        <v>969</v>
      </c>
      <c r="C21" s="41" t="s">
        <v>527</v>
      </c>
      <c r="D21" s="41" t="s">
        <v>420</v>
      </c>
      <c r="E21" s="41" t="s">
        <v>533</v>
      </c>
      <c r="F21" s="42" t="s">
        <v>534</v>
      </c>
    </row>
    <row r="32" spans="1:14">
      <c r="H32" s="43" t="s">
        <v>669</v>
      </c>
      <c r="I32" s="43"/>
      <c r="J32" s="43"/>
      <c r="K32" s="43"/>
      <c r="L32" s="43"/>
      <c r="M32" s="43"/>
      <c r="N32" s="43"/>
    </row>
    <row r="35" ht="24" customHeight="1" spans="1:14">
      <c r="A35" s="44" t="s">
        <v>535</v>
      </c>
      <c r="B35" s="44"/>
      <c r="C35" s="44"/>
      <c r="D35" s="44"/>
      <c r="E35" s="44"/>
      <c r="F35" s="29"/>
      <c r="G35" s="29"/>
      <c r="H35" s="29"/>
      <c r="I35" s="29"/>
      <c r="J35" s="29"/>
      <c r="K35" s="29"/>
      <c r="L35" s="29"/>
      <c r="M35" s="29"/>
      <c r="N35" s="29"/>
    </row>
    <row r="36" ht="34" customHeight="1" spans="1:14">
      <c r="A36" s="45" t="s">
        <v>516</v>
      </c>
      <c r="B36" s="45" t="s">
        <v>536</v>
      </c>
      <c r="C36" s="45" t="s">
        <v>518</v>
      </c>
      <c r="D36" s="45" t="s">
        <v>537</v>
      </c>
      <c r="E36" s="45" t="s">
        <v>42</v>
      </c>
    </row>
    <row r="37" ht="42" customHeight="1" spans="1:14">
      <c r="A37" s="46" t="s">
        <v>538</v>
      </c>
      <c r="B37" s="4" t="s">
        <v>970</v>
      </c>
      <c r="C37" s="4" t="s">
        <v>971</v>
      </c>
      <c r="D37" s="4" t="s">
        <v>972</v>
      </c>
      <c r="E37" s="47" t="s">
        <v>973</v>
      </c>
    </row>
    <row r="38" ht="42" customHeight="1" spans="1:14">
      <c r="A38" s="48" t="s">
        <v>543</v>
      </c>
      <c r="B38" s="12" t="s">
        <v>974</v>
      </c>
      <c r="C38" s="12" t="s">
        <v>975</v>
      </c>
      <c r="D38" s="12" t="s">
        <v>976</v>
      </c>
      <c r="E38" s="49" t="s">
        <v>683</v>
      </c>
    </row>
    <row r="39" ht="42" customHeight="1" spans="1:14">
      <c r="A39" s="50" t="s">
        <v>547</v>
      </c>
      <c r="B39" s="22" t="s">
        <v>977</v>
      </c>
      <c r="C39" s="22" t="s">
        <v>978</v>
      </c>
      <c r="D39" s="22" t="s">
        <v>979</v>
      </c>
      <c r="E39" s="51" t="s">
        <v>980</v>
      </c>
    </row>
    <row r="43" ht="24" customHeight="1" spans="1:14">
      <c r="A43" s="52" t="s">
        <v>562</v>
      </c>
      <c r="B43" s="52"/>
      <c r="C43" s="52"/>
      <c r="D43" s="52"/>
      <c r="E43" s="52"/>
      <c r="F43" s="29"/>
      <c r="G43" s="29"/>
      <c r="H43" s="29"/>
      <c r="I43" s="29"/>
      <c r="J43" s="29"/>
      <c r="K43" s="29"/>
      <c r="L43" s="29"/>
      <c r="M43" s="29"/>
      <c r="N43" s="29"/>
    </row>
    <row r="44" ht="34" customHeight="1" spans="1:14">
      <c r="A44" s="53" t="s">
        <v>563</v>
      </c>
      <c r="B44" s="53" t="s">
        <v>564</v>
      </c>
      <c r="C44" s="53" t="s">
        <v>565</v>
      </c>
      <c r="D44" s="53" t="s">
        <v>566</v>
      </c>
      <c r="E44" s="53" t="s">
        <v>567</v>
      </c>
    </row>
    <row r="45" ht="48" customHeight="1" spans="1:14">
      <c r="A45" s="46" t="s">
        <v>981</v>
      </c>
      <c r="B45" s="4" t="s">
        <v>982</v>
      </c>
      <c r="C45" s="4" t="s">
        <v>983</v>
      </c>
      <c r="D45" s="4" t="s">
        <v>984</v>
      </c>
      <c r="E45" s="47" t="s">
        <v>985</v>
      </c>
    </row>
    <row r="46" ht="48" customHeight="1" spans="1:14">
      <c r="A46" s="48" t="s">
        <v>986</v>
      </c>
      <c r="B46" s="12" t="s">
        <v>987</v>
      </c>
      <c r="C46" s="12" t="s">
        <v>988</v>
      </c>
      <c r="D46" s="12" t="s">
        <v>989</v>
      </c>
      <c r="E46" s="49" t="s">
        <v>990</v>
      </c>
    </row>
    <row r="47" ht="48" customHeight="1" spans="1:14">
      <c r="A47" s="50" t="s">
        <v>991</v>
      </c>
      <c r="B47" s="22" t="s">
        <v>992</v>
      </c>
      <c r="C47" s="22" t="s">
        <v>993</v>
      </c>
      <c r="D47" s="22" t="s">
        <v>994</v>
      </c>
      <c r="E47" s="51" t="s">
        <v>995</v>
      </c>
    </row>
    <row r="50" ht="24" customHeight="1" spans="1:14">
      <c r="A50" s="54" t="s">
        <v>588</v>
      </c>
      <c r="B50" s="54"/>
      <c r="C50" s="54"/>
      <c r="D50" s="54"/>
      <c r="E50" s="29"/>
      <c r="F50" s="29"/>
      <c r="G50" s="29"/>
      <c r="H50" s="29"/>
      <c r="I50" s="29"/>
      <c r="J50" s="29"/>
      <c r="K50" s="29"/>
      <c r="L50" s="29"/>
      <c r="M50" s="29"/>
      <c r="N50" s="29"/>
    </row>
    <row r="51" ht="34" customHeight="1" spans="1:14">
      <c r="A51" s="55" t="s">
        <v>186</v>
      </c>
      <c r="B51" s="55" t="s">
        <v>187</v>
      </c>
      <c r="C51" s="55" t="s">
        <v>589</v>
      </c>
      <c r="D51" s="55" t="s">
        <v>590</v>
      </c>
    </row>
    <row r="52" ht="70" customHeight="1" spans="1:14">
      <c r="A52" s="56" t="s">
        <v>336</v>
      </c>
      <c r="B52" s="57" t="s">
        <v>337</v>
      </c>
      <c r="C52" s="57" t="s">
        <v>340</v>
      </c>
      <c r="D52" s="58" t="s">
        <v>338</v>
      </c>
    </row>
    <row r="54" ht="28" customHeight="1" spans="1:14">
      <c r="A54" s="59" t="s">
        <v>591</v>
      </c>
      <c r="B54" s="60"/>
      <c r="C54" s="60"/>
      <c r="D54" s="60"/>
      <c r="E54" s="60"/>
      <c r="F54" s="60"/>
      <c r="G54" s="61"/>
      <c r="H54" s="61"/>
      <c r="I54" s="61"/>
      <c r="J54" s="61"/>
      <c r="K54" s="61"/>
      <c r="L54" s="61"/>
      <c r="M54" s="61"/>
      <c r="N54" s="61"/>
    </row>
    <row r="55" ht="28" customHeight="1" spans="1:14">
      <c r="A55" s="62"/>
      <c r="B55" s="63"/>
      <c r="C55" s="63"/>
      <c r="D55" s="63"/>
      <c r="E55" s="63"/>
      <c r="F55" s="63"/>
      <c r="G55" s="61"/>
      <c r="H55" s="61"/>
      <c r="I55" s="61"/>
      <c r="J55" s="61"/>
      <c r="K55" s="61"/>
      <c r="L55" s="61"/>
      <c r="M55" s="61"/>
      <c r="N55" s="61"/>
    </row>
    <row r="57" ht="24" customHeight="1" spans="1:14">
      <c r="A57" s="44" t="s">
        <v>592</v>
      </c>
      <c r="B57" s="44"/>
      <c r="C57" s="44"/>
      <c r="D57" s="44"/>
      <c r="E57" s="44"/>
      <c r="F57" s="44"/>
      <c r="G57" s="29"/>
      <c r="H57" s="29"/>
      <c r="I57" s="29"/>
      <c r="J57" s="29"/>
      <c r="K57" s="29"/>
      <c r="L57" s="29"/>
      <c r="M57" s="29"/>
      <c r="N57" s="29"/>
    </row>
    <row r="58" ht="34" customHeight="1" spans="1:14">
      <c r="A58" s="64" t="s">
        <v>70</v>
      </c>
      <c r="B58" s="64" t="s">
        <v>593</v>
      </c>
      <c r="C58" s="64" t="s">
        <v>594</v>
      </c>
      <c r="D58" s="64" t="s">
        <v>595</v>
      </c>
      <c r="E58" s="64" t="s">
        <v>596</v>
      </c>
      <c r="F58" s="64" t="s">
        <v>597</v>
      </c>
    </row>
    <row r="59" ht="64" customHeight="1" spans="1:14">
      <c r="A59" s="65">
        <v>1</v>
      </c>
      <c r="B59" s="4" t="s">
        <v>996</v>
      </c>
      <c r="C59" s="4" t="s">
        <v>997</v>
      </c>
      <c r="D59" s="4" t="s">
        <v>998</v>
      </c>
      <c r="E59" s="4" t="s">
        <v>999</v>
      </c>
      <c r="F59" s="47" t="s">
        <v>622</v>
      </c>
    </row>
    <row r="60" ht="64" customHeight="1" spans="1:14">
      <c r="A60" s="66">
        <v>2</v>
      </c>
      <c r="B60" s="12" t="s">
        <v>1000</v>
      </c>
      <c r="C60" s="12" t="s">
        <v>1001</v>
      </c>
      <c r="D60" s="12" t="s">
        <v>1002</v>
      </c>
      <c r="E60" s="12" t="s">
        <v>1003</v>
      </c>
      <c r="F60" s="49" t="s">
        <v>973</v>
      </c>
    </row>
    <row r="61" ht="64" customHeight="1" spans="1:14">
      <c r="A61" s="67">
        <v>3</v>
      </c>
      <c r="B61" s="22" t="s">
        <v>986</v>
      </c>
      <c r="C61" s="22" t="s">
        <v>1004</v>
      </c>
      <c r="D61" s="22" t="s">
        <v>1005</v>
      </c>
      <c r="E61" s="22" t="s">
        <v>1006</v>
      </c>
      <c r="F61" s="51" t="s">
        <v>622</v>
      </c>
    </row>
    <row r="64" ht="24" customHeight="1" spans="1:14">
      <c r="A64" s="52" t="s">
        <v>623</v>
      </c>
      <c r="B64" s="52"/>
      <c r="C64" s="52"/>
      <c r="D64" s="52"/>
      <c r="E64" s="52"/>
      <c r="F64" s="52"/>
      <c r="G64" s="29"/>
      <c r="H64" s="29"/>
      <c r="I64" s="29"/>
      <c r="J64" s="29"/>
      <c r="K64" s="29"/>
      <c r="L64" s="29"/>
      <c r="M64" s="29"/>
      <c r="N64" s="29"/>
    </row>
    <row r="65" ht="34" customHeight="1" spans="1:14">
      <c r="A65" s="68" t="s">
        <v>70</v>
      </c>
      <c r="B65" s="68" t="s">
        <v>624</v>
      </c>
      <c r="C65" s="68" t="s">
        <v>625</v>
      </c>
      <c r="D65" s="68" t="s">
        <v>626</v>
      </c>
      <c r="E65" s="68" t="s">
        <v>627</v>
      </c>
      <c r="F65" s="68" t="s">
        <v>628</v>
      </c>
    </row>
    <row r="66" ht="64" customHeight="1" spans="1:14">
      <c r="A66" s="65">
        <v>1</v>
      </c>
      <c r="B66" s="4" t="s">
        <v>1007</v>
      </c>
      <c r="C66" s="4" t="s">
        <v>1008</v>
      </c>
      <c r="D66" s="4" t="s">
        <v>1009</v>
      </c>
      <c r="E66" s="4" t="s">
        <v>1010</v>
      </c>
      <c r="F66" s="47" t="s">
        <v>1011</v>
      </c>
    </row>
    <row r="67" ht="64" customHeight="1" spans="1:14">
      <c r="A67" s="66">
        <v>2</v>
      </c>
      <c r="B67" s="12" t="s">
        <v>991</v>
      </c>
      <c r="C67" s="12" t="s">
        <v>1012</v>
      </c>
      <c r="D67" s="12" t="s">
        <v>1013</v>
      </c>
      <c r="E67" s="12" t="s">
        <v>1014</v>
      </c>
      <c r="F67" s="49" t="s">
        <v>1015</v>
      </c>
    </row>
    <row r="68" ht="64" customHeight="1" spans="1:14">
      <c r="A68" s="67">
        <v>3</v>
      </c>
      <c r="B68" s="22" t="s">
        <v>1016</v>
      </c>
      <c r="C68" s="22" t="s">
        <v>1017</v>
      </c>
      <c r="D68" s="22" t="s">
        <v>1018</v>
      </c>
      <c r="E68" s="22" t="s">
        <v>1019</v>
      </c>
      <c r="F68" s="51" t="s">
        <v>648</v>
      </c>
    </row>
    <row r="70" ht="30" customHeight="1" spans="1:14">
      <c r="A70" s="69" t="s">
        <v>654</v>
      </c>
      <c r="B70" s="70"/>
      <c r="C70" s="70"/>
      <c r="D70" s="70"/>
      <c r="E70" s="70"/>
      <c r="F70" s="70"/>
      <c r="G70" s="71"/>
      <c r="H70" s="71"/>
      <c r="I70" s="71"/>
      <c r="J70" s="71"/>
      <c r="K70" s="71"/>
      <c r="L70" s="71"/>
      <c r="M70" s="71"/>
      <c r="N70" s="71"/>
    </row>
    <row r="71" ht="30" customHeight="1" spans="1:14">
      <c r="A71" s="72"/>
      <c r="B71" s="73"/>
      <c r="C71" s="73"/>
      <c r="D71" s="73"/>
      <c r="E71" s="73"/>
      <c r="F71" s="73"/>
      <c r="G71" s="71"/>
      <c r="H71" s="71"/>
      <c r="I71" s="71"/>
      <c r="J71" s="71"/>
      <c r="K71" s="71"/>
      <c r="L71" s="71"/>
      <c r="M71" s="71"/>
      <c r="N71" s="71"/>
    </row>
  </sheetData>
  <mergeCells count="6">
    <mergeCell ref="A1:N1"/>
    <mergeCell ref="A2:N2"/>
    <mergeCell ref="H32:N32"/>
    <mergeCell ref="G4:N14"/>
    <mergeCell ref="A54:F55"/>
    <mergeCell ref="A70:F7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Master</vt:lpstr>
      <vt:lpstr>AI UGC Video</vt:lpstr>
      <vt:lpstr>AI Clone Video</vt:lpstr>
      <vt:lpstr>AI Clone Creative</vt:lpstr>
      <vt:lpstr>Single Static</vt:lpstr>
      <vt:lpstr>Edit Source Mix</vt:lpstr>
      <vt:lpstr>HTML Video Dropped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</cp:lastModifiedBy>
  <dcterms:created xsi:type="dcterms:W3CDTF">2026-08-19T06:50:00Z</dcterms:created>
  <dcterms:modified xsi:type="dcterms:W3CDTF">2026-08-18T17:45:37Z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13C89152B2635C13F20F846A17B3E6F1_42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